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iasnodkar.1\GSpec\"/>
    </mc:Choice>
  </mc:AlternateContent>
  <xr:revisionPtr revIDLastSave="0" documentId="13_ncr:1_{324BA877-EA7E-41F6-8632-DC63FE91D4D8}" xr6:coauthVersionLast="47" xr6:coauthVersionMax="47" xr10:uidLastSave="{00000000-0000-0000-0000-000000000000}"/>
  <bookViews>
    <workbookView xWindow="-110" yWindow="-110" windowWidth="19420" windowHeight="10420" firstSheet="5" activeTab="7" xr2:uid="{20D83020-A72A-4097-8652-2E6CA5F9C6E2}"/>
  </bookViews>
  <sheets>
    <sheet name="Moving vortex" sheetId="1" r:id="rId1"/>
    <sheet name="Moving input fiber, +x, Echev" sheetId="7" r:id="rId2"/>
    <sheet name="Moving input fiber, +x" sheetId="3" r:id="rId3"/>
    <sheet name="Moving input fiber, -x, Echev" sheetId="9" r:id="rId4"/>
    <sheet name="Moving input fiber, -x" sheetId="4" r:id="rId5"/>
    <sheet name="Moving input fiber, +y" sheetId="2" r:id="rId6"/>
    <sheet name="Moving input fiber, -y" sheetId="6" r:id="rId7"/>
    <sheet name="Moving input fiber, x" sheetId="10" r:id="rId8"/>
    <sheet name="Moving input fiber, y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1" i="10" l="1" a="1"/>
  <c r="C41" i="10" s="1"/>
  <c r="C5" i="10" a="1"/>
  <c r="C5" i="10" s="1"/>
  <c r="C53" i="9" a="1"/>
  <c r="C53" i="9" s="1"/>
  <c r="D53" i="9" s="1" a="1"/>
  <c r="D53" i="9" s="1"/>
  <c r="C28" i="9" a="1"/>
  <c r="C28" i="9" s="1"/>
  <c r="D28" i="9" s="1" a="1"/>
  <c r="D28" i="9" s="1"/>
  <c r="C3" i="9" a="1"/>
  <c r="C3" i="9" s="1"/>
  <c r="D3" i="9" s="1" a="1"/>
  <c r="D3" i="9" s="1"/>
  <c r="Q2" i="9"/>
  <c r="C103" i="7" a="1"/>
  <c r="C103" i="7" s="1"/>
  <c r="D103" i="7" s="1" a="1"/>
  <c r="D103" i="7" s="1"/>
  <c r="C78" i="7" a="1"/>
  <c r="C78" i="7" s="1"/>
  <c r="D78" i="7" s="1" a="1"/>
  <c r="D78" i="7" s="1"/>
  <c r="C53" i="7" a="1"/>
  <c r="C53" i="7" s="1"/>
  <c r="D53" i="7" s="1" a="1"/>
  <c r="D53" i="7" s="1"/>
  <c r="C28" i="7" a="1"/>
  <c r="C28" i="7" s="1"/>
  <c r="D28" i="7" s="1" a="1"/>
  <c r="D28" i="7" s="1"/>
  <c r="C3" i="7" a="1"/>
  <c r="C3" i="7" s="1"/>
  <c r="D3" i="7" s="1" a="1"/>
  <c r="D3" i="7" s="1"/>
  <c r="Q2" i="7"/>
  <c r="D53" i="2" a="1"/>
  <c r="D53" i="2" s="1"/>
  <c r="D28" i="2" a="1"/>
  <c r="D28" i="2" s="1"/>
  <c r="D3" i="2" a="1"/>
  <c r="D3" i="2" s="1"/>
  <c r="D3" i="4" a="1"/>
  <c r="D3" i="4" s="1"/>
  <c r="Q2" i="2"/>
  <c r="D53" i="4" a="1"/>
  <c r="D53" i="4" s="1"/>
  <c r="D28" i="4" a="1"/>
  <c r="D28" i="4" s="1"/>
  <c r="Q2" i="4"/>
  <c r="D103" i="3" a="1"/>
  <c r="D103" i="3" s="1"/>
  <c r="D78" i="3" a="1"/>
  <c r="D78" i="3" s="1"/>
  <c r="D53" i="3" a="1"/>
  <c r="D53" i="3" s="1"/>
  <c r="D28" i="3" a="1"/>
  <c r="D28" i="3" s="1"/>
  <c r="D3" i="3" a="1"/>
  <c r="D3" i="3" s="1"/>
  <c r="Q2" i="3"/>
  <c r="C53" i="6" l="1" a="1"/>
  <c r="C53" i="6" s="1"/>
  <c r="C28" i="6" a="1"/>
  <c r="C28" i="6" s="1"/>
  <c r="C3" i="6" a="1"/>
  <c r="C3" i="6" s="1"/>
  <c r="C53" i="4" a="1"/>
  <c r="C53" i="4" s="1"/>
  <c r="C28" i="4" a="1"/>
  <c r="C28" i="4" s="1"/>
  <c r="C3" i="4" a="1"/>
  <c r="C3" i="4" s="1"/>
  <c r="C53" i="2" a="1"/>
  <c r="C53" i="2" s="1"/>
  <c r="C28" i="2" a="1"/>
  <c r="C28" i="2" s="1"/>
  <c r="C3" i="2" a="1"/>
  <c r="C3" i="2" s="1"/>
  <c r="C103" i="3" a="1"/>
  <c r="C103" i="3" s="1"/>
  <c r="C78" i="3" a="1"/>
  <c r="C78" i="3" s="1"/>
  <c r="C53" i="3" a="1"/>
  <c r="C53" i="3" s="1"/>
  <c r="C28" i="3" a="1"/>
  <c r="C28" i="3" s="1"/>
  <c r="C3" i="3" a="1"/>
  <c r="C3" i="3" s="1"/>
  <c r="C2" i="1" l="1" a="1"/>
  <c r="C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tc={56BC5293-D2D8-41A7-BE48-0EBFD4ACB558}</author>
    <author>tc={2E7DDB5F-3B34-4E87-BFDF-953D548CDADB}</author>
    <author>tc={AA843CEA-79DD-44FF-9669-6A1E03DF20DB}</author>
    <author>tc={DCCACE67-3749-416B-826F-346A52B4E14B}</author>
    <author>tc={20B5632E-6582-4AFA-9C24-53AE806C8770}</author>
  </authors>
  <commentList>
    <comment ref="A78" authorId="0" shapeId="0" xr:uid="{56BC5293-D2D8-41A7-BE48-0EBFD4ACB558}">
      <text>
        <t>[Threaded comment]
Your version of Excel allows you to read this threaded comment; however, any edits to it will get removed if the file is opened in a newer version of Excel. Learn more: https://go.microsoft.com/fwlink/?linkid=870924
Comment:
    Aligned extremes to have ~same power</t>
      </text>
    </comment>
    <comment ref="A145" authorId="1" shapeId="0" xr:uid="{2E7DDB5F-3B34-4E87-BFDF-953D548CDADB}">
      <text>
        <t>[Threaded comment]
Your version of Excel allows you to read this threaded comment; however, any edits to it will get removed if the file is opened in a newer version of Excel. Learn more: https://go.microsoft.com/fwlink/?linkid=870924
Comment:
    Aligned extremes to have ~same power</t>
      </text>
    </comment>
    <comment ref="A165" authorId="2" shapeId="0" xr:uid="{AA843CEA-79DD-44FF-9669-6A1E03DF20DB}">
      <text>
        <t>[Threaded comment]
Your version of Excel allows you to read this threaded comment; however, any edits to it will get removed if the file is opened in a newer version of Excel. Learn more: https://go.microsoft.com/fwlink/?linkid=870924
Comment:
    Aligned extremes to have ~same power</t>
      </text>
    </comment>
    <comment ref="A215" authorId="3" shapeId="0" xr:uid="{DCCACE67-3749-416B-826F-346A52B4E14B}">
      <text>
        <t>[Threaded comment]
Your version of Excel allows you to read this threaded comment; however, any edits to it will get removed if the file is opened in a newer version of Excel. Learn more: https://go.microsoft.com/fwlink/?linkid=870924
Comment:
    Aligned extremes to have ~same power</t>
      </text>
    </comment>
    <comment ref="A280" authorId="4" shapeId="0" xr:uid="{20B5632E-6582-4AFA-9C24-53AE806C8770}">
      <text>
        <t>[Threaded comment]
Your version of Excel allows you to read this threaded comment; however, any edits to it will get removed if the file is opened in a newer version of Excel. Learn more: https://go.microsoft.com/fwlink/?linkid=870924
Comment:
    Aligned extremes to have ~same power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tc={28239E11-F823-4890-9843-E4F8FB1BB5F0}</author>
  </authors>
  <commentList>
    <comment ref="A2" authorId="0" shapeId="0" xr:uid="{28239E11-F823-4890-9843-E4F8FB1BB5F0}">
      <text>
        <t>[Threaded comment]
Your version of Excel allows you to read this threaded comment; however, any edits to it will get removed if the file is opened in a newer version of Excel. Learn more: https://go.microsoft.com/fwlink/?linkid=870924
Comment:
    Aligned extremes to have ~same power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<sst xmlns="http://schemas.openxmlformats.org/spreadsheetml/2006/main" count="223" uniqueCount="49">
  <si>
    <t>x</t>
  </si>
  <si>
    <t>y</t>
  </si>
  <si>
    <t>Power</t>
  </si>
  <si>
    <t>Notes</t>
  </si>
  <si>
    <t>Fluctuating between 0.06 and 0.11</t>
  </si>
  <si>
    <t>Fluctuating between 0.110 and 0.128</t>
  </si>
  <si>
    <t>Fluctuating between 0.443 and 0.454</t>
  </si>
  <si>
    <t>Fluctuating between 0.793 and 0.820</t>
  </si>
  <si>
    <t>Fluctuating between 1.253 and 1.292</t>
  </si>
  <si>
    <t>Fluctuating between 1.80 and 1.84</t>
  </si>
  <si>
    <t>Fluctuating between 2.1 and 2.11</t>
  </si>
  <si>
    <t>Fluctuating between 2.07 and 2.11</t>
  </si>
  <si>
    <t>Fluctuating between 2.1 and 2.14</t>
  </si>
  <si>
    <t>Fluctuating between 2.19 and 2.2</t>
  </si>
  <si>
    <t>Fluctuating between 2.25 and 2.29</t>
  </si>
  <si>
    <t>Fluctuating between 2.34 and 2.38</t>
  </si>
  <si>
    <t>Fluctuating between 2.44 and 2.47</t>
  </si>
  <si>
    <t>Fluctuating between 2.50 and 2.54</t>
  </si>
  <si>
    <t>Fluctuating between 2.55 and 2.58</t>
  </si>
  <si>
    <t>Fluctuating between 2.60 and 2.63</t>
  </si>
  <si>
    <t>Fluctuating between 2.64 and 2.70</t>
  </si>
  <si>
    <t>r</t>
  </si>
  <si>
    <t>Start y:</t>
  </si>
  <si>
    <t>Step y:</t>
  </si>
  <si>
    <t>Power_low</t>
  </si>
  <si>
    <t>Power_up</t>
  </si>
  <si>
    <t>Start x:</t>
  </si>
  <si>
    <t>Step x:</t>
  </si>
  <si>
    <t>TRIAL 1:</t>
  </si>
  <si>
    <t>All measurements were taken with averaging = 1000 samples</t>
  </si>
  <si>
    <t>Fluctuation seen when removing averaging</t>
  </si>
  <si>
    <t>Occasionally briefly 0.005</t>
  </si>
  <si>
    <t>Occasionally briefly 0.002</t>
  </si>
  <si>
    <t>Occasionally briefly 0.001 and 0.003</t>
  </si>
  <si>
    <t>TRIAL 2:</t>
  </si>
  <si>
    <t>Briefly 0.010</t>
  </si>
  <si>
    <t>Briefly 0.002</t>
  </si>
  <si>
    <t>TRIAL 3:</t>
  </si>
  <si>
    <t>Briefly 0.001</t>
  </si>
  <si>
    <t>TRIAL 4:</t>
  </si>
  <si>
    <t>TRIAL 5:</t>
  </si>
  <si>
    <t>r (lambda/D)</t>
  </si>
  <si>
    <t>r (mm)</t>
  </si>
  <si>
    <t>FNUM:</t>
  </si>
  <si>
    <t>LAMBDA</t>
  </si>
  <si>
    <t>0.0.667</t>
  </si>
  <si>
    <t>(4/18/22) TRIAL 1:</t>
  </si>
  <si>
    <t>(4/25/22) TRIAL 1:</t>
  </si>
  <si>
    <t>(4/28/22) TRIAL 1: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</si>
</sst>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0" fillId="0" borderId="0" xfId="0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VFN demo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'Moving vortex'!$D$1</c:f>
              <c:strCache>
                <c:ptCount val="1"/>
                <c:pt idx="0">
                  <c:v>Power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'Moving vortex'!$C$2:$C$18</c:f>
              <c:numCache>
                <c:formatCode>General</c:formatCode>
                <c:ptCount val="17"/>
                <c:pt idx="0">
                  <c:v>0</c:v>
                </c:pt>
                <c:pt idx="1">
                  <c:v>40</c:v>
                </c:pt>
                <c:pt idx="2">
                  <c:v>80</c:v>
                </c:pt>
                <c:pt idx="3">
                  <c:v>120</c:v>
                </c:pt>
                <c:pt idx="4">
                  <c:v>160</c:v>
                </c:pt>
                <c:pt idx="5">
                  <c:v>200</c:v>
                </c:pt>
                <c:pt idx="6">
                  <c:v>240</c:v>
                </c:pt>
                <c:pt idx="7">
                  <c:v>240.8318915758459</c:v>
                </c:pt>
                <c:pt idx="8">
                  <c:v>243.31050121192879</c:v>
                </c:pt>
                <c:pt idx="9">
                  <c:v>247.38633753705963</c:v>
                </c:pt>
                <c:pt idx="10">
                  <c:v>252.98221281347034</c:v>
                </c:pt>
                <c:pt idx="11">
                  <c:v>260</c:v>
                </c:pt>
                <c:pt idx="12">
                  <c:v>268.32815729997475</c:v>
                </c:pt>
                <c:pt idx="13">
                  <c:v>277.8488797889961</c:v>
                </c:pt>
                <c:pt idx="14">
                  <c:v>288.44410203711914</c:v>
                </c:pt>
                <c:pt idx="15">
                  <c:v>300</c:v>
                </c:pt>
                <c:pt idx="16">
                  <c:v>312.40998703626616</c:v>
                </c:pt>
              </c:numCache>
            </c:numRef>
          </c:xVal>
          <c:yVal>
            <c:numRef>
              <c:f>'Moving vortex'!$D$2:$D$18</c:f>
              <c:numCache>
                <c:formatCode>General</c:formatCode>
                <c:ptCount val="17"/>
                <c:pt idx="0">
                  <c:v>0.09</c:v>
                </c:pt>
                <c:pt idx="1">
                  <c:v>0.12</c:v>
                </c:pt>
                <c:pt idx="2">
                  <c:v>0.44800000000000001</c:v>
                </c:pt>
                <c:pt idx="3">
                  <c:v>0.80500000000000005</c:v>
                </c:pt>
                <c:pt idx="4">
                  <c:v>1.27</c:v>
                </c:pt>
                <c:pt idx="5">
                  <c:v>1.82</c:v>
                </c:pt>
                <c:pt idx="6">
                  <c:v>2.11</c:v>
                </c:pt>
                <c:pt idx="7">
                  <c:v>2.09</c:v>
                </c:pt>
                <c:pt idx="8">
                  <c:v>2.13</c:v>
                </c:pt>
                <c:pt idx="9">
                  <c:v>2.2000000000000002</c:v>
                </c:pt>
                <c:pt idx="10">
                  <c:v>2.27</c:v>
                </c:pt>
                <c:pt idx="11">
                  <c:v>2.37</c:v>
                </c:pt>
                <c:pt idx="12">
                  <c:v>2.46</c:v>
                </c:pt>
                <c:pt idx="13">
                  <c:v>2.5099999999999998</c:v>
                </c:pt>
                <c:pt idx="14">
                  <c:v>2.57</c:v>
                </c:pt>
                <c:pt idx="15">
                  <c:v>2.62</c:v>
                </c:pt>
                <c:pt idx="16">
                  <c:v>2.66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50-4632-980F-4FCE62DF8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127535"/>
        <c:axId val="96136271"/>
      </c:scatterChart>
      <c:valAx>
        <c:axId val="9612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(tickmarks)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36271"/>
        <c:crosses val="autoZero"/>
        <c:crossBetween val="midCat"/>
      </c:valAx>
      <c:valAx>
        <c:axId val="961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(microwatts)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27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VFN demo, +x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Trial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'Moving input fiber, +x, Echev'!$D$3:$D$26</c:f>
              <c:numCache>
                <c:formatCode>General</c:formatCode>
                <c:ptCount val="24"/>
                <c:pt idx="0">
                  <c:v>0</c:v>
                </c:pt>
                <c:pt idx="1">
                  <c:v>0.22497187851518557</c:v>
                </c:pt>
                <c:pt idx="2">
                  <c:v>0.44994375703037115</c:v>
                </c:pt>
                <c:pt idx="3">
                  <c:v>0.67491563554555678</c:v>
                </c:pt>
                <c:pt idx="4">
                  <c:v>0.8998875140607423</c:v>
                </c:pt>
                <c:pt idx="5">
                  <c:v>1.124859392575928</c:v>
                </c:pt>
                <c:pt idx="6">
                  <c:v>1.3498312710911136</c:v>
                </c:pt>
                <c:pt idx="7">
                  <c:v>1.5748031496062991</c:v>
                </c:pt>
                <c:pt idx="8">
                  <c:v>1.7997750281214846</c:v>
                </c:pt>
                <c:pt idx="9">
                  <c:v>2.0247469066366701</c:v>
                </c:pt>
                <c:pt idx="10">
                  <c:v>2.2497187851518561</c:v>
                </c:pt>
                <c:pt idx="11">
                  <c:v>2.4746906636670416</c:v>
                </c:pt>
                <c:pt idx="12">
                  <c:v>2.6996625421822271</c:v>
                </c:pt>
                <c:pt idx="13">
                  <c:v>2.9246344206974126</c:v>
                </c:pt>
                <c:pt idx="14">
                  <c:v>3.1496062992125982</c:v>
                </c:pt>
                <c:pt idx="15">
                  <c:v>3.3745781777277837</c:v>
                </c:pt>
                <c:pt idx="16">
                  <c:v>3.5995500562429692</c:v>
                </c:pt>
                <c:pt idx="17">
                  <c:v>3.8245219347581552</c:v>
                </c:pt>
                <c:pt idx="18">
                  <c:v>4.0494938132733402</c:v>
                </c:pt>
                <c:pt idx="19">
                  <c:v>4.2744656917885262</c:v>
                </c:pt>
                <c:pt idx="20">
                  <c:v>4.4994375703037122</c:v>
                </c:pt>
                <c:pt idx="21">
                  <c:v>4.7244094488188972</c:v>
                </c:pt>
                <c:pt idx="22">
                  <c:v>4.9493813273340832</c:v>
                </c:pt>
                <c:pt idx="23">
                  <c:v>5.1743532058492683</c:v>
                </c:pt>
              </c:numCache>
            </c:numRef>
          </c:xVal>
          <c:yVal>
            <c:numRef>
              <c:f>'Moving input fiber, +x, Echev'!$E$3:$E$26</c:f>
              <c:numCache>
                <c:formatCode>General</c:formatCode>
                <c:ptCount val="24"/>
                <c:pt idx="0">
                  <c:v>1.7000000000000001E-2</c:v>
                </c:pt>
                <c:pt idx="1">
                  <c:v>0.22700000000000001</c:v>
                </c:pt>
                <c:pt idx="2">
                  <c:v>0.41799999999999998</c:v>
                </c:pt>
                <c:pt idx="3">
                  <c:v>0.60499999999999998</c:v>
                </c:pt>
                <c:pt idx="4">
                  <c:v>0.66200000000000003</c:v>
                </c:pt>
                <c:pt idx="5">
                  <c:v>0.64400000000000002</c:v>
                </c:pt>
                <c:pt idx="6">
                  <c:v>0.56499999999999995</c:v>
                </c:pt>
                <c:pt idx="7">
                  <c:v>0.45200000000000001</c:v>
                </c:pt>
                <c:pt idx="8">
                  <c:v>0.30399999999999999</c:v>
                </c:pt>
                <c:pt idx="9">
                  <c:v>0.17599999999999999</c:v>
                </c:pt>
                <c:pt idx="10">
                  <c:v>0.104</c:v>
                </c:pt>
                <c:pt idx="11">
                  <c:v>6.4000000000000001E-2</c:v>
                </c:pt>
                <c:pt idx="12">
                  <c:v>3.5000000000000003E-2</c:v>
                </c:pt>
                <c:pt idx="13">
                  <c:v>2.5999999999999999E-2</c:v>
                </c:pt>
                <c:pt idx="14">
                  <c:v>2.1000000000000001E-2</c:v>
                </c:pt>
                <c:pt idx="15">
                  <c:v>1.7000000000000001E-2</c:v>
                </c:pt>
                <c:pt idx="16">
                  <c:v>1.2E-2</c:v>
                </c:pt>
                <c:pt idx="17">
                  <c:v>1.0999999999999999E-2</c:v>
                </c:pt>
                <c:pt idx="18">
                  <c:v>8.9999999999999993E-3</c:v>
                </c:pt>
                <c:pt idx="19">
                  <c:v>6.0000000000000001E-3</c:v>
                </c:pt>
                <c:pt idx="20">
                  <c:v>3.0000000000000001E-3</c:v>
                </c:pt>
                <c:pt idx="21">
                  <c:v>1E-3</c:v>
                </c:pt>
                <c:pt idx="22">
                  <c:v>2E-3</c:v>
                </c:pt>
                <c:pt idx="23">
                  <c:v>5.0000000000000001E-3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E8-4DAD-8180-96CACA5916E8}"/>
            </c:ext>
          </c:extLst>
        </c:ser>
        <c:ser>
          <c:idx val="2"/>
          <c:order val="1"/>
          <c:tx>
            <c:v>Trial 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'Moving input fiber, +x, Echev'!$D$3:$D$26</c:f>
              <c:numCache>
                <c:formatCode>General</c:formatCode>
                <c:ptCount val="24"/>
                <c:pt idx="0">
                  <c:v>0</c:v>
                </c:pt>
                <c:pt idx="1">
                  <c:v>0.22497187851518557</c:v>
                </c:pt>
                <c:pt idx="2">
                  <c:v>0.44994375703037115</c:v>
                </c:pt>
                <c:pt idx="3">
                  <c:v>0.67491563554555678</c:v>
                </c:pt>
                <c:pt idx="4">
                  <c:v>0.8998875140607423</c:v>
                </c:pt>
                <c:pt idx="5">
                  <c:v>1.124859392575928</c:v>
                </c:pt>
                <c:pt idx="6">
                  <c:v>1.3498312710911136</c:v>
                </c:pt>
                <c:pt idx="7">
                  <c:v>1.5748031496062991</c:v>
                </c:pt>
                <c:pt idx="8">
                  <c:v>1.7997750281214846</c:v>
                </c:pt>
                <c:pt idx="9">
                  <c:v>2.0247469066366701</c:v>
                </c:pt>
                <c:pt idx="10">
                  <c:v>2.2497187851518561</c:v>
                </c:pt>
                <c:pt idx="11">
                  <c:v>2.4746906636670416</c:v>
                </c:pt>
                <c:pt idx="12">
                  <c:v>2.6996625421822271</c:v>
                </c:pt>
                <c:pt idx="13">
                  <c:v>2.9246344206974126</c:v>
                </c:pt>
                <c:pt idx="14">
                  <c:v>3.1496062992125982</c:v>
                </c:pt>
                <c:pt idx="15">
                  <c:v>3.3745781777277837</c:v>
                </c:pt>
                <c:pt idx="16">
                  <c:v>3.5995500562429692</c:v>
                </c:pt>
                <c:pt idx="17">
                  <c:v>3.8245219347581552</c:v>
                </c:pt>
                <c:pt idx="18">
                  <c:v>4.0494938132733402</c:v>
                </c:pt>
                <c:pt idx="19">
                  <c:v>4.2744656917885262</c:v>
                </c:pt>
                <c:pt idx="20">
                  <c:v>4.4994375703037122</c:v>
                </c:pt>
                <c:pt idx="21">
                  <c:v>4.7244094488188972</c:v>
                </c:pt>
                <c:pt idx="22">
                  <c:v>4.9493813273340832</c:v>
                </c:pt>
                <c:pt idx="23">
                  <c:v>5.1743532058492683</c:v>
                </c:pt>
              </c:numCache>
            </c:numRef>
          </c:xVal>
          <c:yVal>
            <c:numRef>
              <c:f>'Moving input fiber, +x, Echev'!$E$28:$E$51</c:f>
              <c:numCache>
                <c:formatCode>General</c:formatCode>
                <c:ptCount val="24"/>
                <c:pt idx="0">
                  <c:v>1.2999999999999999E-2</c:v>
                </c:pt>
                <c:pt idx="1">
                  <c:v>0.28899999999999998</c:v>
                </c:pt>
                <c:pt idx="2">
                  <c:v>0.51</c:v>
                </c:pt>
                <c:pt idx="3">
                  <c:v>0.68500000000000005</c:v>
                </c:pt>
                <c:pt idx="4">
                  <c:v>0.75600000000000001</c:v>
                </c:pt>
                <c:pt idx="5">
                  <c:v>0.72699999999999998</c:v>
                </c:pt>
                <c:pt idx="6">
                  <c:v>0.61199999999999999</c:v>
                </c:pt>
                <c:pt idx="7">
                  <c:v>0.47</c:v>
                </c:pt>
                <c:pt idx="8">
                  <c:v>0.26400000000000001</c:v>
                </c:pt>
                <c:pt idx="9">
                  <c:v>0.157</c:v>
                </c:pt>
                <c:pt idx="10">
                  <c:v>9.1999999999999998E-2</c:v>
                </c:pt>
                <c:pt idx="11">
                  <c:v>5.5E-2</c:v>
                </c:pt>
                <c:pt idx="12">
                  <c:v>7.1999999999999995E-2</c:v>
                </c:pt>
                <c:pt idx="13">
                  <c:v>2.1000000000000001E-2</c:v>
                </c:pt>
                <c:pt idx="14">
                  <c:v>1.9E-2</c:v>
                </c:pt>
                <c:pt idx="15">
                  <c:v>1.4999999999999999E-2</c:v>
                </c:pt>
                <c:pt idx="16">
                  <c:v>1.2999999999999999E-2</c:v>
                </c:pt>
                <c:pt idx="17">
                  <c:v>0.01</c:v>
                </c:pt>
                <c:pt idx="18">
                  <c:v>7.0000000000000001E-3</c:v>
                </c:pt>
                <c:pt idx="19">
                  <c:v>4.0000000000000001E-3</c:v>
                </c:pt>
                <c:pt idx="20">
                  <c:v>2E-3</c:v>
                </c:pt>
                <c:pt idx="21">
                  <c:v>1E-3</c:v>
                </c:pt>
                <c:pt idx="22">
                  <c:v>3.0000000000000001E-3</c:v>
                </c:pt>
                <c:pt idx="23">
                  <c:v>6.0000000000000001E-3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E8-4DAD-8180-96CACA5916E8}"/>
            </c:ext>
          </c:extLst>
        </c:ser>
        <c:ser>
          <c:idx val="3"/>
          <c:order val="2"/>
          <c:tx>
            <c:v>Trial 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'Moving input fiber, +x, Echev'!$D$3:$D$26</c:f>
              <c:numCache>
                <c:formatCode>General</c:formatCode>
                <c:ptCount val="24"/>
                <c:pt idx="0">
                  <c:v>0</c:v>
                </c:pt>
                <c:pt idx="1">
                  <c:v>0.22497187851518557</c:v>
                </c:pt>
                <c:pt idx="2">
                  <c:v>0.44994375703037115</c:v>
                </c:pt>
                <c:pt idx="3">
                  <c:v>0.67491563554555678</c:v>
                </c:pt>
                <c:pt idx="4">
                  <c:v>0.8998875140607423</c:v>
                </c:pt>
                <c:pt idx="5">
                  <c:v>1.124859392575928</c:v>
                </c:pt>
                <c:pt idx="6">
                  <c:v>1.3498312710911136</c:v>
                </c:pt>
                <c:pt idx="7">
                  <c:v>1.5748031496062991</c:v>
                </c:pt>
                <c:pt idx="8">
                  <c:v>1.7997750281214846</c:v>
                </c:pt>
                <c:pt idx="9">
                  <c:v>2.0247469066366701</c:v>
                </c:pt>
                <c:pt idx="10">
                  <c:v>2.2497187851518561</c:v>
                </c:pt>
                <c:pt idx="11">
                  <c:v>2.4746906636670416</c:v>
                </c:pt>
                <c:pt idx="12">
                  <c:v>2.6996625421822271</c:v>
                </c:pt>
                <c:pt idx="13">
                  <c:v>2.9246344206974126</c:v>
                </c:pt>
                <c:pt idx="14">
                  <c:v>3.1496062992125982</c:v>
                </c:pt>
                <c:pt idx="15">
                  <c:v>3.3745781777277837</c:v>
                </c:pt>
                <c:pt idx="16">
                  <c:v>3.5995500562429692</c:v>
                </c:pt>
                <c:pt idx="17">
                  <c:v>3.8245219347581552</c:v>
                </c:pt>
                <c:pt idx="18">
                  <c:v>4.0494938132733402</c:v>
                </c:pt>
                <c:pt idx="19">
                  <c:v>4.2744656917885262</c:v>
                </c:pt>
                <c:pt idx="20">
                  <c:v>4.4994375703037122</c:v>
                </c:pt>
                <c:pt idx="21">
                  <c:v>4.7244094488188972</c:v>
                </c:pt>
                <c:pt idx="22">
                  <c:v>4.9493813273340832</c:v>
                </c:pt>
                <c:pt idx="23">
                  <c:v>5.1743532058492683</c:v>
                </c:pt>
              </c:numCache>
            </c:numRef>
          </c:xVal>
          <c:yVal>
            <c:numRef>
              <c:f>'Moving input fiber, +x, Echev'!$E$53:$E$76</c:f>
              <c:numCache>
                <c:formatCode>General</c:formatCode>
                <c:ptCount val="24"/>
                <c:pt idx="0">
                  <c:v>1.7000000000000001E-2</c:v>
                </c:pt>
                <c:pt idx="1">
                  <c:v>0.26400000000000001</c:v>
                </c:pt>
                <c:pt idx="2">
                  <c:v>0.44400000000000001</c:v>
                </c:pt>
                <c:pt idx="3">
                  <c:v>0.59599999999999997</c:v>
                </c:pt>
                <c:pt idx="4">
                  <c:v>0.69399999999999995</c:v>
                </c:pt>
                <c:pt idx="5">
                  <c:v>0.67600000000000005</c:v>
                </c:pt>
                <c:pt idx="6">
                  <c:v>0.57499999999999996</c:v>
                </c:pt>
                <c:pt idx="7">
                  <c:v>0.432</c:v>
                </c:pt>
                <c:pt idx="8">
                  <c:v>0.23499999999999999</c:v>
                </c:pt>
                <c:pt idx="9">
                  <c:v>0.159</c:v>
                </c:pt>
                <c:pt idx="10">
                  <c:v>9.1999999999999998E-2</c:v>
                </c:pt>
                <c:pt idx="11">
                  <c:v>5.3999999999999999E-2</c:v>
                </c:pt>
                <c:pt idx="12">
                  <c:v>3.6999999999999998E-2</c:v>
                </c:pt>
                <c:pt idx="13">
                  <c:v>2.5000000000000001E-2</c:v>
                </c:pt>
                <c:pt idx="14">
                  <c:v>0.02</c:v>
                </c:pt>
                <c:pt idx="15">
                  <c:v>1.7000000000000001E-2</c:v>
                </c:pt>
                <c:pt idx="16">
                  <c:v>1.4E-2</c:v>
                </c:pt>
                <c:pt idx="17">
                  <c:v>1.2E-2</c:v>
                </c:pt>
                <c:pt idx="18">
                  <c:v>8.9999999999999993E-3</c:v>
                </c:pt>
                <c:pt idx="19">
                  <c:v>6.0000000000000001E-3</c:v>
                </c:pt>
                <c:pt idx="20">
                  <c:v>2E-3</c:v>
                </c:pt>
                <c:pt idx="21">
                  <c:v>1E-3</c:v>
                </c:pt>
                <c:pt idx="22">
                  <c:v>3.0000000000000001E-3</c:v>
                </c:pt>
                <c:pt idx="23">
                  <c:v>6.0000000000000001E-3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E8-4DAD-8180-96CACA591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9862912"/>
        <c:axId val="819874144"/>
      </c:scatterChart>
      <c:valAx>
        <c:axId val="81986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+x (</a:t>
                </a:r>
                <a:r>
                  <a:rPr lang="el-GR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λ</a:t>
                </a: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/D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874144"/>
        <c:crosses val="autoZero"/>
        <c:crossBetween val="midCat"/>
      </c:valAx>
      <c:valAx>
        <c:axId val="81987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(microwatts)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862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VFN demo, +x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Trial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'Moving input fiber, +x'!$D$3:$D$26</c:f>
              <c:numCache>
                <c:formatCode>General</c:formatCode>
                <c:ptCount val="24"/>
                <c:pt idx="0">
                  <c:v>0</c:v>
                </c:pt>
                <c:pt idx="1">
                  <c:v>0.22497187851518557</c:v>
                </c:pt>
                <c:pt idx="2">
                  <c:v>0.44994375703037115</c:v>
                </c:pt>
                <c:pt idx="3">
                  <c:v>0.67491563554555678</c:v>
                </c:pt>
                <c:pt idx="4">
                  <c:v>0.8998875140607423</c:v>
                </c:pt>
                <c:pt idx="5">
                  <c:v>1.124859392575928</c:v>
                </c:pt>
                <c:pt idx="6">
                  <c:v>1.3498312710911136</c:v>
                </c:pt>
                <c:pt idx="7">
                  <c:v>1.5748031496062991</c:v>
                </c:pt>
                <c:pt idx="8">
                  <c:v>1.7997750281214846</c:v>
                </c:pt>
                <c:pt idx="9">
                  <c:v>2.0247469066366701</c:v>
                </c:pt>
                <c:pt idx="10">
                  <c:v>2.2497187851518561</c:v>
                </c:pt>
                <c:pt idx="11">
                  <c:v>2.4746906636670416</c:v>
                </c:pt>
                <c:pt idx="12">
                  <c:v>2.6996625421822271</c:v>
                </c:pt>
                <c:pt idx="13">
                  <c:v>2.9246344206974126</c:v>
                </c:pt>
                <c:pt idx="14">
                  <c:v>3.1496062992125982</c:v>
                </c:pt>
                <c:pt idx="15">
                  <c:v>3.3745781777277837</c:v>
                </c:pt>
                <c:pt idx="16">
                  <c:v>3.5995500562429692</c:v>
                </c:pt>
                <c:pt idx="17">
                  <c:v>3.8245219347581552</c:v>
                </c:pt>
                <c:pt idx="18">
                  <c:v>4.0494938132733402</c:v>
                </c:pt>
                <c:pt idx="19">
                  <c:v>4.2744656917885262</c:v>
                </c:pt>
                <c:pt idx="20">
                  <c:v>4.4994375703037122</c:v>
                </c:pt>
                <c:pt idx="21">
                  <c:v>4.7244094488188972</c:v>
                </c:pt>
                <c:pt idx="22">
                  <c:v>4.9493813273340832</c:v>
                </c:pt>
                <c:pt idx="23">
                  <c:v>5.1743532058492683</c:v>
                </c:pt>
              </c:numCache>
            </c:numRef>
          </c:xVal>
          <c:yVal>
            <c:numRef>
              <c:f>'Moving input fiber, +x'!$E$3:$E$26</c:f>
              <c:numCache>
                <c:formatCode>General</c:formatCode>
                <c:ptCount val="24"/>
                <c:pt idx="0">
                  <c:v>2.3E-2</c:v>
                </c:pt>
                <c:pt idx="1">
                  <c:v>6.6000000000000003E-2</c:v>
                </c:pt>
                <c:pt idx="2">
                  <c:v>0.19700000000000001</c:v>
                </c:pt>
                <c:pt idx="3">
                  <c:v>0.41299999999999998</c:v>
                </c:pt>
                <c:pt idx="4">
                  <c:v>0.58899999999999997</c:v>
                </c:pt>
                <c:pt idx="5">
                  <c:v>0.71199999999999997</c:v>
                </c:pt>
                <c:pt idx="6">
                  <c:v>0.67</c:v>
                </c:pt>
                <c:pt idx="7">
                  <c:v>0.69399999999999995</c:v>
                </c:pt>
                <c:pt idx="8">
                  <c:v>0.59</c:v>
                </c:pt>
                <c:pt idx="9">
                  <c:v>0.42199999999999999</c:v>
                </c:pt>
                <c:pt idx="10">
                  <c:v>0.32400000000000001</c:v>
                </c:pt>
                <c:pt idx="11">
                  <c:v>0.19700000000000001</c:v>
                </c:pt>
                <c:pt idx="12">
                  <c:v>0.11799999999999999</c:v>
                </c:pt>
                <c:pt idx="13">
                  <c:v>6.6000000000000003E-2</c:v>
                </c:pt>
                <c:pt idx="14">
                  <c:v>3.5999999999999997E-2</c:v>
                </c:pt>
                <c:pt idx="15">
                  <c:v>1.4999999999999999E-2</c:v>
                </c:pt>
                <c:pt idx="16">
                  <c:v>6.0000000000000001E-3</c:v>
                </c:pt>
                <c:pt idx="17">
                  <c:v>3.0000000000000001E-3</c:v>
                </c:pt>
                <c:pt idx="18">
                  <c:v>1E-3</c:v>
                </c:pt>
                <c:pt idx="19">
                  <c:v>2E-3</c:v>
                </c:pt>
                <c:pt idx="20">
                  <c:v>1E-3</c:v>
                </c:pt>
                <c:pt idx="21">
                  <c:v>1E-3</c:v>
                </c:pt>
                <c:pt idx="22">
                  <c:v>2E-3</c:v>
                </c:pt>
                <c:pt idx="23">
                  <c:v>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B-49C3-81D2-7AAB0665B321}"/>
            </c:ext>
          </c:extLst>
        </c:ser>
        <c:ser>
          <c:idx val="2"/>
          <c:order val="1"/>
          <c:tx>
            <c:v>Trial 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'Moving input fiber, +x'!$D$3:$D$26</c:f>
              <c:numCache>
                <c:formatCode>General</c:formatCode>
                <c:ptCount val="24"/>
                <c:pt idx="0">
                  <c:v>0</c:v>
                </c:pt>
                <c:pt idx="1">
                  <c:v>0.22497187851518557</c:v>
                </c:pt>
                <c:pt idx="2">
                  <c:v>0.44994375703037115</c:v>
                </c:pt>
                <c:pt idx="3">
                  <c:v>0.67491563554555678</c:v>
                </c:pt>
                <c:pt idx="4">
                  <c:v>0.8998875140607423</c:v>
                </c:pt>
                <c:pt idx="5">
                  <c:v>1.124859392575928</c:v>
                </c:pt>
                <c:pt idx="6">
                  <c:v>1.3498312710911136</c:v>
                </c:pt>
                <c:pt idx="7">
                  <c:v>1.5748031496062991</c:v>
                </c:pt>
                <c:pt idx="8">
                  <c:v>1.7997750281214846</c:v>
                </c:pt>
                <c:pt idx="9">
                  <c:v>2.0247469066366701</c:v>
                </c:pt>
                <c:pt idx="10">
                  <c:v>2.2497187851518561</c:v>
                </c:pt>
                <c:pt idx="11">
                  <c:v>2.4746906636670416</c:v>
                </c:pt>
                <c:pt idx="12">
                  <c:v>2.6996625421822271</c:v>
                </c:pt>
                <c:pt idx="13">
                  <c:v>2.9246344206974126</c:v>
                </c:pt>
                <c:pt idx="14">
                  <c:v>3.1496062992125982</c:v>
                </c:pt>
                <c:pt idx="15">
                  <c:v>3.3745781777277837</c:v>
                </c:pt>
                <c:pt idx="16">
                  <c:v>3.5995500562429692</c:v>
                </c:pt>
                <c:pt idx="17">
                  <c:v>3.8245219347581552</c:v>
                </c:pt>
                <c:pt idx="18">
                  <c:v>4.0494938132733402</c:v>
                </c:pt>
                <c:pt idx="19">
                  <c:v>4.2744656917885262</c:v>
                </c:pt>
                <c:pt idx="20">
                  <c:v>4.4994375703037122</c:v>
                </c:pt>
                <c:pt idx="21">
                  <c:v>4.7244094488188972</c:v>
                </c:pt>
                <c:pt idx="22">
                  <c:v>4.9493813273340832</c:v>
                </c:pt>
                <c:pt idx="23">
                  <c:v>5.1743532058492683</c:v>
                </c:pt>
              </c:numCache>
            </c:numRef>
          </c:xVal>
          <c:yVal>
            <c:numRef>
              <c:f>'Moving input fiber, +x'!$E$28:$E$51</c:f>
              <c:numCache>
                <c:formatCode>General</c:formatCode>
                <c:ptCount val="24"/>
                <c:pt idx="0">
                  <c:v>1.7000000000000001E-2</c:v>
                </c:pt>
                <c:pt idx="1">
                  <c:v>0.46700000000000003</c:v>
                </c:pt>
                <c:pt idx="2">
                  <c:v>0.71099999999999997</c:v>
                </c:pt>
                <c:pt idx="3">
                  <c:v>0.872</c:v>
                </c:pt>
                <c:pt idx="4">
                  <c:v>0.91600000000000004</c:v>
                </c:pt>
                <c:pt idx="5">
                  <c:v>0.84299999999999997</c:v>
                </c:pt>
                <c:pt idx="6">
                  <c:v>0.67700000000000005</c:v>
                </c:pt>
                <c:pt idx="7">
                  <c:v>0.48199999999999998</c:v>
                </c:pt>
                <c:pt idx="8">
                  <c:v>0.33300000000000002</c:v>
                </c:pt>
                <c:pt idx="9">
                  <c:v>0.16700000000000001</c:v>
                </c:pt>
                <c:pt idx="10">
                  <c:v>9.8000000000000004E-2</c:v>
                </c:pt>
                <c:pt idx="11">
                  <c:v>4.2000000000000003E-2</c:v>
                </c:pt>
                <c:pt idx="12">
                  <c:v>2.1000000000000001E-2</c:v>
                </c:pt>
                <c:pt idx="13">
                  <c:v>1.0999999999999999E-2</c:v>
                </c:pt>
                <c:pt idx="14">
                  <c:v>7.0000000000000001E-3</c:v>
                </c:pt>
                <c:pt idx="15">
                  <c:v>4.0000000000000001E-3</c:v>
                </c:pt>
                <c:pt idx="16">
                  <c:v>4.0000000000000001E-3</c:v>
                </c:pt>
                <c:pt idx="17">
                  <c:v>5.0000000000000001E-3</c:v>
                </c:pt>
                <c:pt idx="18">
                  <c:v>4.0000000000000001E-3</c:v>
                </c:pt>
                <c:pt idx="19">
                  <c:v>2E-3</c:v>
                </c:pt>
                <c:pt idx="20">
                  <c:v>2E-3</c:v>
                </c:pt>
                <c:pt idx="21">
                  <c:v>2E-3</c:v>
                </c:pt>
                <c:pt idx="22">
                  <c:v>4.0000000000000001E-3</c:v>
                </c:pt>
                <c:pt idx="23">
                  <c:v>5.0000000000000001E-3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B-49C3-81D2-7AAB0665B321}"/>
            </c:ext>
          </c:extLst>
        </c:ser>
        <c:ser>
          <c:idx val="3"/>
          <c:order val="2"/>
          <c:tx>
            <c:v>Trial 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'Moving input fiber, +x'!$D$3:$D$26</c:f>
              <c:numCache>
                <c:formatCode>General</c:formatCode>
                <c:ptCount val="24"/>
                <c:pt idx="0">
                  <c:v>0</c:v>
                </c:pt>
                <c:pt idx="1">
                  <c:v>0.22497187851518557</c:v>
                </c:pt>
                <c:pt idx="2">
                  <c:v>0.44994375703037115</c:v>
                </c:pt>
                <c:pt idx="3">
                  <c:v>0.67491563554555678</c:v>
                </c:pt>
                <c:pt idx="4">
                  <c:v>0.8998875140607423</c:v>
                </c:pt>
                <c:pt idx="5">
                  <c:v>1.124859392575928</c:v>
                </c:pt>
                <c:pt idx="6">
                  <c:v>1.3498312710911136</c:v>
                </c:pt>
                <c:pt idx="7">
                  <c:v>1.5748031496062991</c:v>
                </c:pt>
                <c:pt idx="8">
                  <c:v>1.7997750281214846</c:v>
                </c:pt>
                <c:pt idx="9">
                  <c:v>2.0247469066366701</c:v>
                </c:pt>
                <c:pt idx="10">
                  <c:v>2.2497187851518561</c:v>
                </c:pt>
                <c:pt idx="11">
                  <c:v>2.4746906636670416</c:v>
                </c:pt>
                <c:pt idx="12">
                  <c:v>2.6996625421822271</c:v>
                </c:pt>
                <c:pt idx="13">
                  <c:v>2.9246344206974126</c:v>
                </c:pt>
                <c:pt idx="14">
                  <c:v>3.1496062992125982</c:v>
                </c:pt>
                <c:pt idx="15">
                  <c:v>3.3745781777277837</c:v>
                </c:pt>
                <c:pt idx="16">
                  <c:v>3.5995500562429692</c:v>
                </c:pt>
                <c:pt idx="17">
                  <c:v>3.8245219347581552</c:v>
                </c:pt>
                <c:pt idx="18">
                  <c:v>4.0494938132733402</c:v>
                </c:pt>
                <c:pt idx="19">
                  <c:v>4.2744656917885262</c:v>
                </c:pt>
                <c:pt idx="20">
                  <c:v>4.4994375703037122</c:v>
                </c:pt>
                <c:pt idx="21">
                  <c:v>4.7244094488188972</c:v>
                </c:pt>
                <c:pt idx="22">
                  <c:v>4.9493813273340832</c:v>
                </c:pt>
                <c:pt idx="23">
                  <c:v>5.1743532058492683</c:v>
                </c:pt>
              </c:numCache>
            </c:numRef>
          </c:xVal>
          <c:yVal>
            <c:numRef>
              <c:f>'Moving input fiber, +x'!$E$53:$E$76</c:f>
              <c:numCache>
                <c:formatCode>General</c:formatCode>
                <c:ptCount val="24"/>
                <c:pt idx="0">
                  <c:v>1.7000000000000001E-2</c:v>
                </c:pt>
                <c:pt idx="1">
                  <c:v>0.107</c:v>
                </c:pt>
                <c:pt idx="2">
                  <c:v>0.13600000000000001</c:v>
                </c:pt>
                <c:pt idx="3">
                  <c:v>0.52300000000000002</c:v>
                </c:pt>
                <c:pt idx="4">
                  <c:v>0.748</c:v>
                </c:pt>
                <c:pt idx="5">
                  <c:v>0.86799999999999999</c:v>
                </c:pt>
                <c:pt idx="6">
                  <c:v>0.874</c:v>
                </c:pt>
                <c:pt idx="7">
                  <c:v>0.78500000000000003</c:v>
                </c:pt>
                <c:pt idx="8">
                  <c:v>0.64600000000000002</c:v>
                </c:pt>
                <c:pt idx="9">
                  <c:v>0.42699999999999999</c:v>
                </c:pt>
                <c:pt idx="10">
                  <c:v>0.32900000000000001</c:v>
                </c:pt>
                <c:pt idx="11">
                  <c:v>0.2</c:v>
                </c:pt>
                <c:pt idx="12">
                  <c:v>0.105</c:v>
                </c:pt>
                <c:pt idx="13">
                  <c:v>5.7000000000000002E-2</c:v>
                </c:pt>
                <c:pt idx="14">
                  <c:v>7.5999999999999998E-2</c:v>
                </c:pt>
                <c:pt idx="15">
                  <c:v>1.2999999999999999E-2</c:v>
                </c:pt>
                <c:pt idx="16">
                  <c:v>6.0000000000000001E-3</c:v>
                </c:pt>
                <c:pt idx="17">
                  <c:v>4.0000000000000001E-3</c:v>
                </c:pt>
                <c:pt idx="18">
                  <c:v>5.0000000000000001E-3</c:v>
                </c:pt>
                <c:pt idx="19">
                  <c:v>4.0000000000000001E-3</c:v>
                </c:pt>
                <c:pt idx="20">
                  <c:v>4.0000000000000001E-3</c:v>
                </c:pt>
                <c:pt idx="21">
                  <c:v>1E-3</c:v>
                </c:pt>
                <c:pt idx="22">
                  <c:v>2E-3</c:v>
                </c:pt>
                <c:pt idx="23">
                  <c:v>4.0000000000000001E-3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B-49C3-81D2-7AAB0665B321}"/>
            </c:ext>
          </c:extLst>
        </c:ser>
        <c:ser>
          <c:idx val="0"/>
          <c:order val="3"/>
          <c:tx>
            <c:v>Trial 4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'Moving input fiber, +x'!$D$3:$D$26</c:f>
              <c:numCache>
                <c:formatCode>General</c:formatCode>
                <c:ptCount val="24"/>
                <c:pt idx="0">
                  <c:v>0</c:v>
                </c:pt>
                <c:pt idx="1">
                  <c:v>0.22497187851518557</c:v>
                </c:pt>
                <c:pt idx="2">
                  <c:v>0.44994375703037115</c:v>
                </c:pt>
                <c:pt idx="3">
                  <c:v>0.67491563554555678</c:v>
                </c:pt>
                <c:pt idx="4">
                  <c:v>0.8998875140607423</c:v>
                </c:pt>
                <c:pt idx="5">
                  <c:v>1.124859392575928</c:v>
                </c:pt>
                <c:pt idx="6">
                  <c:v>1.3498312710911136</c:v>
                </c:pt>
                <c:pt idx="7">
                  <c:v>1.5748031496062991</c:v>
                </c:pt>
                <c:pt idx="8">
                  <c:v>1.7997750281214846</c:v>
                </c:pt>
                <c:pt idx="9">
                  <c:v>2.0247469066366701</c:v>
                </c:pt>
                <c:pt idx="10">
                  <c:v>2.2497187851518561</c:v>
                </c:pt>
                <c:pt idx="11">
                  <c:v>2.4746906636670416</c:v>
                </c:pt>
                <c:pt idx="12">
                  <c:v>2.6996625421822271</c:v>
                </c:pt>
                <c:pt idx="13">
                  <c:v>2.9246344206974126</c:v>
                </c:pt>
                <c:pt idx="14">
                  <c:v>3.1496062992125982</c:v>
                </c:pt>
                <c:pt idx="15">
                  <c:v>3.3745781777277837</c:v>
                </c:pt>
                <c:pt idx="16">
                  <c:v>3.5995500562429692</c:v>
                </c:pt>
                <c:pt idx="17">
                  <c:v>3.8245219347581552</c:v>
                </c:pt>
                <c:pt idx="18">
                  <c:v>4.0494938132733402</c:v>
                </c:pt>
                <c:pt idx="19">
                  <c:v>4.2744656917885262</c:v>
                </c:pt>
                <c:pt idx="20">
                  <c:v>4.4994375703037122</c:v>
                </c:pt>
                <c:pt idx="21">
                  <c:v>4.7244094488188972</c:v>
                </c:pt>
                <c:pt idx="22">
                  <c:v>4.9493813273340832</c:v>
                </c:pt>
                <c:pt idx="23">
                  <c:v>5.1743532058492683</c:v>
                </c:pt>
              </c:numCache>
            </c:numRef>
          </c:xVal>
          <c:yVal>
            <c:numRef>
              <c:f>'Moving input fiber, +x'!$E$78:$E$101</c:f>
              <c:numCache>
                <c:formatCode>General</c:formatCode>
                <c:ptCount val="24"/>
                <c:pt idx="0">
                  <c:v>1.7000000000000001E-2</c:v>
                </c:pt>
                <c:pt idx="1">
                  <c:v>0.46700000000000003</c:v>
                </c:pt>
                <c:pt idx="2">
                  <c:v>0.71799999999999997</c:v>
                </c:pt>
                <c:pt idx="3">
                  <c:v>0.55500000000000005</c:v>
                </c:pt>
                <c:pt idx="4">
                  <c:v>0.84799999999999998</c:v>
                </c:pt>
                <c:pt idx="5">
                  <c:v>0.83899999999999997</c:v>
                </c:pt>
                <c:pt idx="6">
                  <c:v>0.69599999999999995</c:v>
                </c:pt>
                <c:pt idx="7">
                  <c:v>0.45700000000000002</c:v>
                </c:pt>
                <c:pt idx="8">
                  <c:v>0.25700000000000001</c:v>
                </c:pt>
                <c:pt idx="9">
                  <c:v>0.155</c:v>
                </c:pt>
                <c:pt idx="10">
                  <c:v>8.8999999999999996E-2</c:v>
                </c:pt>
                <c:pt idx="11">
                  <c:v>4.3999999999999997E-2</c:v>
                </c:pt>
                <c:pt idx="12">
                  <c:v>2.1000000000000001E-2</c:v>
                </c:pt>
                <c:pt idx="13">
                  <c:v>1.2E-2</c:v>
                </c:pt>
                <c:pt idx="14">
                  <c:v>1.0999999999999999E-2</c:v>
                </c:pt>
                <c:pt idx="15">
                  <c:v>6.0000000000000001E-3</c:v>
                </c:pt>
                <c:pt idx="16">
                  <c:v>6.0000000000000001E-3</c:v>
                </c:pt>
                <c:pt idx="17">
                  <c:v>6.0000000000000001E-3</c:v>
                </c:pt>
                <c:pt idx="18">
                  <c:v>4.0000000000000001E-3</c:v>
                </c:pt>
                <c:pt idx="19">
                  <c:v>2E-3</c:v>
                </c:pt>
                <c:pt idx="20">
                  <c:v>2E-3</c:v>
                </c:pt>
                <c:pt idx="21">
                  <c:v>2E-3</c:v>
                </c:pt>
                <c:pt idx="22">
                  <c:v>4.0000000000000001E-3</c:v>
                </c:pt>
                <c:pt idx="23">
                  <c:v>6.0000000000000001E-3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E68-4A3D-BAC5-C25890BD9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9862912"/>
        <c:axId val="819874144"/>
      </c:scatterChart>
      <c:valAx>
        <c:axId val="81986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+x (</a:t>
                </a:r>
                <a:r>
                  <a:rPr lang="el-GR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λ</a:t>
                </a: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/D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874144"/>
        <c:crosses val="autoZero"/>
        <c:crossBetween val="midCat"/>
      </c:valAx>
      <c:valAx>
        <c:axId val="81987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(microwatts)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862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VFN demo, -x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Trial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'Moving input fiber, -x, Echev'!$D$3:$D$26</c:f>
              <c:numCache>
                <c:formatCode>General</c:formatCode>
                <c:ptCount val="24"/>
                <c:pt idx="0">
                  <c:v>0</c:v>
                </c:pt>
                <c:pt idx="1">
                  <c:v>0.22497187851518557</c:v>
                </c:pt>
                <c:pt idx="2">
                  <c:v>0.44994375703037115</c:v>
                </c:pt>
                <c:pt idx="3">
                  <c:v>0.67491563554555678</c:v>
                </c:pt>
                <c:pt idx="4">
                  <c:v>0.8998875140607423</c:v>
                </c:pt>
                <c:pt idx="5">
                  <c:v>1.124859392575928</c:v>
                </c:pt>
                <c:pt idx="6">
                  <c:v>1.3498312710911136</c:v>
                </c:pt>
                <c:pt idx="7">
                  <c:v>1.5748031496062991</c:v>
                </c:pt>
                <c:pt idx="8">
                  <c:v>1.7997750281214846</c:v>
                </c:pt>
                <c:pt idx="9">
                  <c:v>2.0247469066366701</c:v>
                </c:pt>
                <c:pt idx="10">
                  <c:v>2.2497187851518561</c:v>
                </c:pt>
                <c:pt idx="11">
                  <c:v>2.4746906636670416</c:v>
                </c:pt>
                <c:pt idx="12">
                  <c:v>2.6996625421822271</c:v>
                </c:pt>
                <c:pt idx="13">
                  <c:v>2.9246344206974126</c:v>
                </c:pt>
                <c:pt idx="14">
                  <c:v>3.1496062992125982</c:v>
                </c:pt>
                <c:pt idx="15">
                  <c:v>3.3745781777277837</c:v>
                </c:pt>
                <c:pt idx="16">
                  <c:v>3.5995500562429692</c:v>
                </c:pt>
                <c:pt idx="17">
                  <c:v>3.8245219347581552</c:v>
                </c:pt>
                <c:pt idx="18">
                  <c:v>4.0494938132733402</c:v>
                </c:pt>
                <c:pt idx="19">
                  <c:v>4.2744656917885262</c:v>
                </c:pt>
                <c:pt idx="20">
                  <c:v>4.4994375703037122</c:v>
                </c:pt>
                <c:pt idx="21">
                  <c:v>4.7244094488188972</c:v>
                </c:pt>
                <c:pt idx="22">
                  <c:v>4.9493813273340832</c:v>
                </c:pt>
                <c:pt idx="23">
                  <c:v>5.1743532058492683</c:v>
                </c:pt>
              </c:numCache>
            </c:numRef>
          </c:xVal>
          <c:yVal>
            <c:numRef>
              <c:f>'Moving input fiber, -x, Echev'!$E$3:$E$26</c:f>
              <c:numCache>
                <c:formatCode>General</c:formatCode>
                <c:ptCount val="24"/>
                <c:pt idx="0">
                  <c:v>2.1999999999999999E-2</c:v>
                </c:pt>
                <c:pt idx="1">
                  <c:v>0.115</c:v>
                </c:pt>
                <c:pt idx="2">
                  <c:v>0.24099999999999999</c:v>
                </c:pt>
                <c:pt idx="3">
                  <c:v>0.36</c:v>
                </c:pt>
                <c:pt idx="4">
                  <c:v>0.42799999999999999</c:v>
                </c:pt>
                <c:pt idx="5">
                  <c:v>0.44400000000000001</c:v>
                </c:pt>
                <c:pt idx="6">
                  <c:v>0.42399999999999999</c:v>
                </c:pt>
                <c:pt idx="7">
                  <c:v>0.38300000000000001</c:v>
                </c:pt>
                <c:pt idx="8">
                  <c:v>0.315</c:v>
                </c:pt>
                <c:pt idx="9">
                  <c:v>0.254</c:v>
                </c:pt>
                <c:pt idx="10">
                  <c:v>0.184</c:v>
                </c:pt>
                <c:pt idx="11">
                  <c:v>0.123</c:v>
                </c:pt>
                <c:pt idx="12">
                  <c:v>8.7999999999999995E-2</c:v>
                </c:pt>
                <c:pt idx="13">
                  <c:v>4.4999999999999998E-2</c:v>
                </c:pt>
                <c:pt idx="14">
                  <c:v>0.03</c:v>
                </c:pt>
                <c:pt idx="15">
                  <c:v>1.4999999999999999E-2</c:v>
                </c:pt>
                <c:pt idx="16">
                  <c:v>8.0000000000000002E-3</c:v>
                </c:pt>
                <c:pt idx="17">
                  <c:v>4.0000000000000001E-3</c:v>
                </c:pt>
                <c:pt idx="18">
                  <c:v>4.0000000000000001E-3</c:v>
                </c:pt>
                <c:pt idx="19">
                  <c:v>5.0000000000000001E-3</c:v>
                </c:pt>
                <c:pt idx="20">
                  <c:v>8.9999999999999993E-3</c:v>
                </c:pt>
                <c:pt idx="21">
                  <c:v>1.0999999999999999E-2</c:v>
                </c:pt>
                <c:pt idx="22">
                  <c:v>1.2999999999999999E-2</c:v>
                </c:pt>
                <c:pt idx="23">
                  <c:v>1.6E-2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7C-411A-AD9C-B4A55E4524AA}"/>
            </c:ext>
          </c:extLst>
        </c:ser>
        <c:ser>
          <c:idx val="1"/>
          <c:order val="1"/>
          <c:tx>
            <c:v>Trial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'Moving input fiber, -x, Echev'!$D$3:$D$26</c:f>
              <c:numCache>
                <c:formatCode>General</c:formatCode>
                <c:ptCount val="24"/>
                <c:pt idx="0">
                  <c:v>0</c:v>
                </c:pt>
                <c:pt idx="1">
                  <c:v>0.22497187851518557</c:v>
                </c:pt>
                <c:pt idx="2">
                  <c:v>0.44994375703037115</c:v>
                </c:pt>
                <c:pt idx="3">
                  <c:v>0.67491563554555678</c:v>
                </c:pt>
                <c:pt idx="4">
                  <c:v>0.8998875140607423</c:v>
                </c:pt>
                <c:pt idx="5">
                  <c:v>1.124859392575928</c:v>
                </c:pt>
                <c:pt idx="6">
                  <c:v>1.3498312710911136</c:v>
                </c:pt>
                <c:pt idx="7">
                  <c:v>1.5748031496062991</c:v>
                </c:pt>
                <c:pt idx="8">
                  <c:v>1.7997750281214846</c:v>
                </c:pt>
                <c:pt idx="9">
                  <c:v>2.0247469066366701</c:v>
                </c:pt>
                <c:pt idx="10">
                  <c:v>2.2497187851518561</c:v>
                </c:pt>
                <c:pt idx="11">
                  <c:v>2.4746906636670416</c:v>
                </c:pt>
                <c:pt idx="12">
                  <c:v>2.6996625421822271</c:v>
                </c:pt>
                <c:pt idx="13">
                  <c:v>2.9246344206974126</c:v>
                </c:pt>
                <c:pt idx="14">
                  <c:v>3.1496062992125982</c:v>
                </c:pt>
                <c:pt idx="15">
                  <c:v>3.3745781777277837</c:v>
                </c:pt>
                <c:pt idx="16">
                  <c:v>3.5995500562429692</c:v>
                </c:pt>
                <c:pt idx="17">
                  <c:v>3.8245219347581552</c:v>
                </c:pt>
                <c:pt idx="18">
                  <c:v>4.0494938132733402</c:v>
                </c:pt>
                <c:pt idx="19">
                  <c:v>4.2744656917885262</c:v>
                </c:pt>
                <c:pt idx="20">
                  <c:v>4.4994375703037122</c:v>
                </c:pt>
                <c:pt idx="21">
                  <c:v>4.7244094488188972</c:v>
                </c:pt>
                <c:pt idx="22">
                  <c:v>4.9493813273340832</c:v>
                </c:pt>
                <c:pt idx="23">
                  <c:v>5.1743532058492683</c:v>
                </c:pt>
              </c:numCache>
            </c:numRef>
          </c:xVal>
          <c:yVal>
            <c:numRef>
              <c:f>'Moving input fiber, -x, Echev'!$E$28:$E$51</c:f>
              <c:numCache>
                <c:formatCode>General</c:formatCode>
                <c:ptCount val="24"/>
                <c:pt idx="0">
                  <c:v>1.4999999999999999E-2</c:v>
                </c:pt>
                <c:pt idx="1">
                  <c:v>0.06</c:v>
                </c:pt>
                <c:pt idx="2">
                  <c:v>0.20399999999999999</c:v>
                </c:pt>
                <c:pt idx="3">
                  <c:v>0.3</c:v>
                </c:pt>
                <c:pt idx="4">
                  <c:v>0.41099999999999998</c:v>
                </c:pt>
                <c:pt idx="5">
                  <c:v>0.42699999999999999</c:v>
                </c:pt>
                <c:pt idx="6">
                  <c:v>0.433</c:v>
                </c:pt>
                <c:pt idx="7">
                  <c:v>0.40899999999999997</c:v>
                </c:pt>
                <c:pt idx="8">
                  <c:v>0.36299999999999999</c:v>
                </c:pt>
                <c:pt idx="9">
                  <c:v>0.30399999999999999</c:v>
                </c:pt>
                <c:pt idx="10">
                  <c:v>0.22500000000000001</c:v>
                </c:pt>
                <c:pt idx="11">
                  <c:v>0.16700000000000001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7C-411A-AD9C-B4A55E4524AA}"/>
            </c:ext>
          </c:extLst>
        </c:ser>
        <c:ser>
          <c:idx val="2"/>
          <c:order val="2"/>
          <c:tx>
            <c:v>Trial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'Moving input fiber, -x, Echev'!$D$3:$D$26</c:f>
              <c:numCache>
                <c:formatCode>General</c:formatCode>
                <c:ptCount val="24"/>
                <c:pt idx="0">
                  <c:v>0</c:v>
                </c:pt>
                <c:pt idx="1">
                  <c:v>0.22497187851518557</c:v>
                </c:pt>
                <c:pt idx="2">
                  <c:v>0.44994375703037115</c:v>
                </c:pt>
                <c:pt idx="3">
                  <c:v>0.67491563554555678</c:v>
                </c:pt>
                <c:pt idx="4">
                  <c:v>0.8998875140607423</c:v>
                </c:pt>
                <c:pt idx="5">
                  <c:v>1.124859392575928</c:v>
                </c:pt>
                <c:pt idx="6">
                  <c:v>1.3498312710911136</c:v>
                </c:pt>
                <c:pt idx="7">
                  <c:v>1.5748031496062991</c:v>
                </c:pt>
                <c:pt idx="8">
                  <c:v>1.7997750281214846</c:v>
                </c:pt>
                <c:pt idx="9">
                  <c:v>2.0247469066366701</c:v>
                </c:pt>
                <c:pt idx="10">
                  <c:v>2.2497187851518561</c:v>
                </c:pt>
                <c:pt idx="11">
                  <c:v>2.4746906636670416</c:v>
                </c:pt>
                <c:pt idx="12">
                  <c:v>2.6996625421822271</c:v>
                </c:pt>
                <c:pt idx="13">
                  <c:v>2.9246344206974126</c:v>
                </c:pt>
                <c:pt idx="14">
                  <c:v>3.1496062992125982</c:v>
                </c:pt>
                <c:pt idx="15">
                  <c:v>3.3745781777277837</c:v>
                </c:pt>
                <c:pt idx="16">
                  <c:v>3.5995500562429692</c:v>
                </c:pt>
                <c:pt idx="17">
                  <c:v>3.8245219347581552</c:v>
                </c:pt>
                <c:pt idx="18">
                  <c:v>4.0494938132733402</c:v>
                </c:pt>
                <c:pt idx="19">
                  <c:v>4.2744656917885262</c:v>
                </c:pt>
                <c:pt idx="20">
                  <c:v>4.4994375703037122</c:v>
                </c:pt>
                <c:pt idx="21">
                  <c:v>4.7244094488188972</c:v>
                </c:pt>
                <c:pt idx="22">
                  <c:v>4.9493813273340832</c:v>
                </c:pt>
                <c:pt idx="23">
                  <c:v>5.1743532058492683</c:v>
                </c:pt>
              </c:numCache>
            </c:numRef>
          </c:xVal>
          <c:yVal>
            <c:numRef>
              <c:f>'Moving input fiber, -x, Echev'!$E$53:$E$76</c:f>
              <c:numCache>
                <c:formatCode>General</c:formatCode>
                <c:ptCount val="24"/>
                <c:pt idx="0">
                  <c:v>2.5000000000000001E-2</c:v>
                </c:pt>
                <c:pt idx="1">
                  <c:v>0.17100000000000001</c:v>
                </c:pt>
                <c:pt idx="2">
                  <c:v>0.28799999999999998</c:v>
                </c:pt>
                <c:pt idx="3">
                  <c:v>0.372</c:v>
                </c:pt>
                <c:pt idx="4">
                  <c:v>0.42099999999999999</c:v>
                </c:pt>
                <c:pt idx="5">
                  <c:v>0.41799999999999998</c:v>
                </c:pt>
                <c:pt idx="6">
                  <c:v>0.39300000000000002</c:v>
                </c:pt>
                <c:pt idx="7">
                  <c:v>0.33</c:v>
                </c:pt>
                <c:pt idx="8">
                  <c:v>0.27100000000000002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B7C-411A-AD9C-B4A55E452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5057167"/>
        <c:axId val="1495061327"/>
      </c:scatterChart>
      <c:valAx>
        <c:axId val="1495057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baseline="0">
                    <a:effectLst/>
                  </a:rPr>
                  <a:t>-x (</a:t>
                </a:r>
                <a:r>
                  <a:rPr lang="el-GR" sz="1200" b="0" i="0" baseline="0">
                    <a:effectLst/>
                  </a:rPr>
                  <a:t>λ</a:t>
                </a:r>
                <a:r>
                  <a:rPr lang="en-US" sz="1200" b="0" i="0" baseline="0">
                    <a:effectLst/>
                  </a:rPr>
                  <a:t>/D)</a:t>
                </a:r>
                <a:endParaRPr lang="en-US" sz="12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061327"/>
        <c:crosses val="autoZero"/>
        <c:crossBetween val="midCat"/>
      </c:valAx>
      <c:valAx>
        <c:axId val="149506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baseline="0">
                    <a:effectLst/>
                  </a:rPr>
                  <a:t>Power (microwatts)</a:t>
                </a:r>
                <a:endParaRPr lang="en-US" sz="12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0571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VFN demo, -x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Trial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'Moving input fiber, -x'!$D$3:$D$26</c:f>
              <c:numCache>
                <c:formatCode>General</c:formatCode>
                <c:ptCount val="24"/>
                <c:pt idx="0">
                  <c:v>0</c:v>
                </c:pt>
                <c:pt idx="1">
                  <c:v>0.22497187851518557</c:v>
                </c:pt>
                <c:pt idx="2">
                  <c:v>0.44994375703037115</c:v>
                </c:pt>
                <c:pt idx="3">
                  <c:v>0.67491563554555678</c:v>
                </c:pt>
                <c:pt idx="4">
                  <c:v>0.8998875140607423</c:v>
                </c:pt>
                <c:pt idx="5">
                  <c:v>1.124859392575928</c:v>
                </c:pt>
                <c:pt idx="6">
                  <c:v>1.3498312710911136</c:v>
                </c:pt>
                <c:pt idx="7">
                  <c:v>1.5748031496062991</c:v>
                </c:pt>
                <c:pt idx="8">
                  <c:v>1.7997750281214846</c:v>
                </c:pt>
                <c:pt idx="9">
                  <c:v>2.0247469066366701</c:v>
                </c:pt>
                <c:pt idx="10">
                  <c:v>2.2497187851518561</c:v>
                </c:pt>
                <c:pt idx="11">
                  <c:v>2.4746906636670416</c:v>
                </c:pt>
                <c:pt idx="12">
                  <c:v>2.6996625421822271</c:v>
                </c:pt>
                <c:pt idx="13">
                  <c:v>2.9246344206974126</c:v>
                </c:pt>
                <c:pt idx="14">
                  <c:v>3.1496062992125982</c:v>
                </c:pt>
                <c:pt idx="15">
                  <c:v>3.3745781777277837</c:v>
                </c:pt>
                <c:pt idx="16">
                  <c:v>3.5995500562429692</c:v>
                </c:pt>
                <c:pt idx="17">
                  <c:v>3.8245219347581552</c:v>
                </c:pt>
                <c:pt idx="18">
                  <c:v>4.0494938132733402</c:v>
                </c:pt>
                <c:pt idx="19">
                  <c:v>4.2744656917885262</c:v>
                </c:pt>
                <c:pt idx="20">
                  <c:v>4.4994375703037122</c:v>
                </c:pt>
                <c:pt idx="21">
                  <c:v>4.7244094488188972</c:v>
                </c:pt>
                <c:pt idx="22">
                  <c:v>4.9493813273340832</c:v>
                </c:pt>
                <c:pt idx="23">
                  <c:v>5.1743532058492683</c:v>
                </c:pt>
              </c:numCache>
            </c:numRef>
          </c:xVal>
          <c:yVal>
            <c:numRef>
              <c:f>'Moving input fiber, -x'!$E$3:$E$26</c:f>
              <c:numCache>
                <c:formatCode>General</c:formatCode>
                <c:ptCount val="24"/>
                <c:pt idx="0">
                  <c:v>2.9000000000000001E-2</c:v>
                </c:pt>
                <c:pt idx="1">
                  <c:v>6.3E-2</c:v>
                </c:pt>
                <c:pt idx="2">
                  <c:v>0.20300000000000001</c:v>
                </c:pt>
                <c:pt idx="3">
                  <c:v>0.442</c:v>
                </c:pt>
                <c:pt idx="4">
                  <c:v>0.60099999999999998</c:v>
                </c:pt>
                <c:pt idx="5">
                  <c:v>0.629</c:v>
                </c:pt>
                <c:pt idx="6">
                  <c:v>0.60299999999999998</c:v>
                </c:pt>
                <c:pt idx="7">
                  <c:v>0.54800000000000004</c:v>
                </c:pt>
                <c:pt idx="8">
                  <c:v>0.45400000000000001</c:v>
                </c:pt>
                <c:pt idx="9">
                  <c:v>0.35</c:v>
                </c:pt>
                <c:pt idx="10">
                  <c:v>0.255</c:v>
                </c:pt>
                <c:pt idx="11">
                  <c:v>0.158</c:v>
                </c:pt>
                <c:pt idx="12">
                  <c:v>0.10100000000000001</c:v>
                </c:pt>
                <c:pt idx="13">
                  <c:v>6.0999999999999999E-2</c:v>
                </c:pt>
                <c:pt idx="14">
                  <c:v>1.9E-2</c:v>
                </c:pt>
                <c:pt idx="15">
                  <c:v>2E-3</c:v>
                </c:pt>
                <c:pt idx="16">
                  <c:v>1E-3</c:v>
                </c:pt>
                <c:pt idx="17">
                  <c:v>5.0000000000000001E-3</c:v>
                </c:pt>
                <c:pt idx="18">
                  <c:v>0.01</c:v>
                </c:pt>
                <c:pt idx="19">
                  <c:v>1.7999999999999999E-2</c:v>
                </c:pt>
                <c:pt idx="20">
                  <c:v>2.3E-2</c:v>
                </c:pt>
                <c:pt idx="21">
                  <c:v>2.7E-2</c:v>
                </c:pt>
                <c:pt idx="22">
                  <c:v>2.8000000000000001E-2</c:v>
                </c:pt>
                <c:pt idx="23">
                  <c:v>2.8000000000000001E-2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09-4D4D-BF89-C5E12173F5D4}"/>
            </c:ext>
          </c:extLst>
        </c:ser>
        <c:ser>
          <c:idx val="1"/>
          <c:order val="1"/>
          <c:tx>
            <c:v>Trial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'Moving input fiber, -x'!$D$3:$D$26</c:f>
              <c:numCache>
                <c:formatCode>General</c:formatCode>
                <c:ptCount val="24"/>
                <c:pt idx="0">
                  <c:v>0</c:v>
                </c:pt>
                <c:pt idx="1">
                  <c:v>0.22497187851518557</c:v>
                </c:pt>
                <c:pt idx="2">
                  <c:v>0.44994375703037115</c:v>
                </c:pt>
                <c:pt idx="3">
                  <c:v>0.67491563554555678</c:v>
                </c:pt>
                <c:pt idx="4">
                  <c:v>0.8998875140607423</c:v>
                </c:pt>
                <c:pt idx="5">
                  <c:v>1.124859392575928</c:v>
                </c:pt>
                <c:pt idx="6">
                  <c:v>1.3498312710911136</c:v>
                </c:pt>
                <c:pt idx="7">
                  <c:v>1.5748031496062991</c:v>
                </c:pt>
                <c:pt idx="8">
                  <c:v>1.7997750281214846</c:v>
                </c:pt>
                <c:pt idx="9">
                  <c:v>2.0247469066366701</c:v>
                </c:pt>
                <c:pt idx="10">
                  <c:v>2.2497187851518561</c:v>
                </c:pt>
                <c:pt idx="11">
                  <c:v>2.4746906636670416</c:v>
                </c:pt>
                <c:pt idx="12">
                  <c:v>2.6996625421822271</c:v>
                </c:pt>
                <c:pt idx="13">
                  <c:v>2.9246344206974126</c:v>
                </c:pt>
                <c:pt idx="14">
                  <c:v>3.1496062992125982</c:v>
                </c:pt>
                <c:pt idx="15">
                  <c:v>3.3745781777277837</c:v>
                </c:pt>
                <c:pt idx="16">
                  <c:v>3.5995500562429692</c:v>
                </c:pt>
                <c:pt idx="17">
                  <c:v>3.8245219347581552</c:v>
                </c:pt>
                <c:pt idx="18">
                  <c:v>4.0494938132733402</c:v>
                </c:pt>
                <c:pt idx="19">
                  <c:v>4.2744656917885262</c:v>
                </c:pt>
                <c:pt idx="20">
                  <c:v>4.4994375703037122</c:v>
                </c:pt>
                <c:pt idx="21">
                  <c:v>4.7244094488188972</c:v>
                </c:pt>
                <c:pt idx="22">
                  <c:v>4.9493813273340832</c:v>
                </c:pt>
                <c:pt idx="23">
                  <c:v>5.1743532058492683</c:v>
                </c:pt>
              </c:numCache>
            </c:numRef>
          </c:xVal>
          <c:yVal>
            <c:numRef>
              <c:f>'Moving input fiber, -x'!$E$28:$E$51</c:f>
              <c:numCache>
                <c:formatCode>General</c:formatCode>
                <c:ptCount val="24"/>
                <c:pt idx="0">
                  <c:v>0.02</c:v>
                </c:pt>
                <c:pt idx="1">
                  <c:v>5.8999999999999997E-2</c:v>
                </c:pt>
                <c:pt idx="2">
                  <c:v>0.14499999999999999</c:v>
                </c:pt>
                <c:pt idx="3">
                  <c:v>0.32700000000000001</c:v>
                </c:pt>
                <c:pt idx="4">
                  <c:v>0.45500000000000002</c:v>
                </c:pt>
                <c:pt idx="5">
                  <c:v>0.51100000000000001</c:v>
                </c:pt>
                <c:pt idx="6">
                  <c:v>0.57699999999999996</c:v>
                </c:pt>
                <c:pt idx="7">
                  <c:v>0.54300000000000004</c:v>
                </c:pt>
                <c:pt idx="8">
                  <c:v>0.49099999999999999</c:v>
                </c:pt>
                <c:pt idx="9">
                  <c:v>0.40500000000000003</c:v>
                </c:pt>
                <c:pt idx="10">
                  <c:v>0.30399999999999999</c:v>
                </c:pt>
                <c:pt idx="11">
                  <c:v>0.23599999999999999</c:v>
                </c:pt>
                <c:pt idx="12">
                  <c:v>0.151</c:v>
                </c:pt>
                <c:pt idx="13">
                  <c:v>9.7000000000000003E-2</c:v>
                </c:pt>
                <c:pt idx="14">
                  <c:v>5.2999999999999999E-2</c:v>
                </c:pt>
                <c:pt idx="15">
                  <c:v>0.02</c:v>
                </c:pt>
                <c:pt idx="16">
                  <c:v>7.0000000000000001E-3</c:v>
                </c:pt>
                <c:pt idx="17">
                  <c:v>2E-3</c:v>
                </c:pt>
                <c:pt idx="18">
                  <c:v>2E-3</c:v>
                </c:pt>
                <c:pt idx="19">
                  <c:v>8.9999999999999993E-3</c:v>
                </c:pt>
                <c:pt idx="20">
                  <c:v>1.2999999999999999E-2</c:v>
                </c:pt>
                <c:pt idx="21">
                  <c:v>1.7999999999999999E-2</c:v>
                </c:pt>
                <c:pt idx="22">
                  <c:v>0.02</c:v>
                </c:pt>
                <c:pt idx="23">
                  <c:v>2.3E-2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409-4D4D-BF89-C5E12173F5D4}"/>
            </c:ext>
          </c:extLst>
        </c:ser>
        <c:ser>
          <c:idx val="2"/>
          <c:order val="2"/>
          <c:tx>
            <c:v>Trial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'Moving input fiber, -x'!$D$3:$D$26</c:f>
              <c:numCache>
                <c:formatCode>General</c:formatCode>
                <c:ptCount val="24"/>
                <c:pt idx="0">
                  <c:v>0</c:v>
                </c:pt>
                <c:pt idx="1">
                  <c:v>0.22497187851518557</c:v>
                </c:pt>
                <c:pt idx="2">
                  <c:v>0.44994375703037115</c:v>
                </c:pt>
                <c:pt idx="3">
                  <c:v>0.67491563554555678</c:v>
                </c:pt>
                <c:pt idx="4">
                  <c:v>0.8998875140607423</c:v>
                </c:pt>
                <c:pt idx="5">
                  <c:v>1.124859392575928</c:v>
                </c:pt>
                <c:pt idx="6">
                  <c:v>1.3498312710911136</c:v>
                </c:pt>
                <c:pt idx="7">
                  <c:v>1.5748031496062991</c:v>
                </c:pt>
                <c:pt idx="8">
                  <c:v>1.7997750281214846</c:v>
                </c:pt>
                <c:pt idx="9">
                  <c:v>2.0247469066366701</c:v>
                </c:pt>
                <c:pt idx="10">
                  <c:v>2.2497187851518561</c:v>
                </c:pt>
                <c:pt idx="11">
                  <c:v>2.4746906636670416</c:v>
                </c:pt>
                <c:pt idx="12">
                  <c:v>2.6996625421822271</c:v>
                </c:pt>
                <c:pt idx="13">
                  <c:v>2.9246344206974126</c:v>
                </c:pt>
                <c:pt idx="14">
                  <c:v>3.1496062992125982</c:v>
                </c:pt>
                <c:pt idx="15">
                  <c:v>3.3745781777277837</c:v>
                </c:pt>
                <c:pt idx="16">
                  <c:v>3.5995500562429692</c:v>
                </c:pt>
                <c:pt idx="17">
                  <c:v>3.8245219347581552</c:v>
                </c:pt>
                <c:pt idx="18">
                  <c:v>4.0494938132733402</c:v>
                </c:pt>
                <c:pt idx="19">
                  <c:v>4.2744656917885262</c:v>
                </c:pt>
                <c:pt idx="20">
                  <c:v>4.4994375703037122</c:v>
                </c:pt>
                <c:pt idx="21">
                  <c:v>4.7244094488188972</c:v>
                </c:pt>
                <c:pt idx="22">
                  <c:v>4.9493813273340832</c:v>
                </c:pt>
                <c:pt idx="23">
                  <c:v>5.1743532058492683</c:v>
                </c:pt>
              </c:numCache>
            </c:numRef>
          </c:xVal>
          <c:yVal>
            <c:numRef>
              <c:f>'Moving input fiber, -x'!$E$53:$E$76</c:f>
              <c:numCache>
                <c:formatCode>General</c:formatCode>
                <c:ptCount val="24"/>
                <c:pt idx="0">
                  <c:v>1.4999999999999999E-2</c:v>
                </c:pt>
                <c:pt idx="1">
                  <c:v>7.9000000000000001E-2</c:v>
                </c:pt>
                <c:pt idx="2">
                  <c:v>0.17799999999999999</c:v>
                </c:pt>
                <c:pt idx="3">
                  <c:v>0.32800000000000001</c:v>
                </c:pt>
                <c:pt idx="4">
                  <c:v>0.50700000000000001</c:v>
                </c:pt>
                <c:pt idx="5">
                  <c:v>0.59699999999999998</c:v>
                </c:pt>
                <c:pt idx="6">
                  <c:v>0.61099999999999999</c:v>
                </c:pt>
                <c:pt idx="7">
                  <c:v>0.56000000000000005</c:v>
                </c:pt>
                <c:pt idx="8">
                  <c:v>0.48299999999999998</c:v>
                </c:pt>
                <c:pt idx="9">
                  <c:v>0.41599999999999998</c:v>
                </c:pt>
                <c:pt idx="10">
                  <c:v>0.33100000000000002</c:v>
                </c:pt>
                <c:pt idx="11">
                  <c:v>0.248</c:v>
                </c:pt>
                <c:pt idx="12">
                  <c:v>0.155</c:v>
                </c:pt>
                <c:pt idx="13">
                  <c:v>8.4000000000000005E-2</c:v>
                </c:pt>
                <c:pt idx="14">
                  <c:v>4.1000000000000002E-2</c:v>
                </c:pt>
                <c:pt idx="15">
                  <c:v>2.1000000000000001E-2</c:v>
                </c:pt>
                <c:pt idx="16">
                  <c:v>5.0000000000000001E-3</c:v>
                </c:pt>
                <c:pt idx="17">
                  <c:v>1E-3</c:v>
                </c:pt>
                <c:pt idx="18">
                  <c:v>2E-3</c:v>
                </c:pt>
                <c:pt idx="19">
                  <c:v>7.0000000000000001E-3</c:v>
                </c:pt>
                <c:pt idx="20">
                  <c:v>1.2E-2</c:v>
                </c:pt>
                <c:pt idx="21">
                  <c:v>1.7000000000000001E-2</c:v>
                </c:pt>
                <c:pt idx="22">
                  <c:v>2.1000000000000001E-2</c:v>
                </c:pt>
                <c:pt idx="23">
                  <c:v>2.1999999999999999E-2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409-4D4D-BF89-C5E12173F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5057167"/>
        <c:axId val="1495061327"/>
      </c:scatterChart>
      <c:valAx>
        <c:axId val="1495057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baseline="0">
                    <a:effectLst/>
                  </a:rPr>
                  <a:t>-x (</a:t>
                </a:r>
                <a:r>
                  <a:rPr lang="el-GR" sz="1200" b="0" i="0" baseline="0">
                    <a:effectLst/>
                  </a:rPr>
                  <a:t>λ</a:t>
                </a:r>
                <a:r>
                  <a:rPr lang="en-US" sz="1200" b="0" i="0" baseline="0">
                    <a:effectLst/>
                  </a:rPr>
                  <a:t>/D)</a:t>
                </a:r>
                <a:endParaRPr lang="en-US" sz="12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061327"/>
        <c:crosses val="autoZero"/>
        <c:crossBetween val="midCat"/>
      </c:valAx>
      <c:valAx>
        <c:axId val="149506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baseline="0">
                    <a:effectLst/>
                  </a:rPr>
                  <a:t>Power (microwatts)</a:t>
                </a:r>
                <a:endParaRPr lang="en-US" sz="12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0571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VFN demo, +y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Trial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'Moving input fiber, +y'!$D$3:$D$26</c:f>
              <c:numCache>
                <c:formatCode>General</c:formatCode>
                <c:ptCount val="24"/>
                <c:pt idx="0">
                  <c:v>0</c:v>
                </c:pt>
                <c:pt idx="1">
                  <c:v>0.22497187851518557</c:v>
                </c:pt>
                <c:pt idx="2">
                  <c:v>0.44994375703037115</c:v>
                </c:pt>
                <c:pt idx="3">
                  <c:v>0.67491563554555678</c:v>
                </c:pt>
                <c:pt idx="4">
                  <c:v>0.8998875140607423</c:v>
                </c:pt>
                <c:pt idx="5">
                  <c:v>1.124859392575928</c:v>
                </c:pt>
                <c:pt idx="6">
                  <c:v>1.3498312710911136</c:v>
                </c:pt>
                <c:pt idx="7">
                  <c:v>1.5748031496062991</c:v>
                </c:pt>
                <c:pt idx="8">
                  <c:v>1.7997750281214846</c:v>
                </c:pt>
                <c:pt idx="9">
                  <c:v>2.0247469066366701</c:v>
                </c:pt>
                <c:pt idx="10">
                  <c:v>2.2497187851518561</c:v>
                </c:pt>
                <c:pt idx="11">
                  <c:v>2.4746906636670416</c:v>
                </c:pt>
                <c:pt idx="12">
                  <c:v>2.6996625421822271</c:v>
                </c:pt>
                <c:pt idx="13">
                  <c:v>2.9246344206974126</c:v>
                </c:pt>
                <c:pt idx="14">
                  <c:v>3.1496062992125982</c:v>
                </c:pt>
                <c:pt idx="15">
                  <c:v>3.3745781777277837</c:v>
                </c:pt>
                <c:pt idx="16">
                  <c:v>3.5995500562429692</c:v>
                </c:pt>
                <c:pt idx="17">
                  <c:v>3.8245219347581552</c:v>
                </c:pt>
                <c:pt idx="18">
                  <c:v>4.0494938132733402</c:v>
                </c:pt>
                <c:pt idx="19">
                  <c:v>4.2744656917885262</c:v>
                </c:pt>
                <c:pt idx="20">
                  <c:v>4.4994375703037122</c:v>
                </c:pt>
                <c:pt idx="21">
                  <c:v>4.7244094488188972</c:v>
                </c:pt>
                <c:pt idx="22">
                  <c:v>4.9493813273340832</c:v>
                </c:pt>
                <c:pt idx="23">
                  <c:v>5.1743532058492683</c:v>
                </c:pt>
              </c:numCache>
            </c:numRef>
          </c:xVal>
          <c:yVal>
            <c:numRef>
              <c:f>'Moving input fiber, +y'!$E$3:$E$26</c:f>
              <c:numCache>
                <c:formatCode>General</c:formatCode>
                <c:ptCount val="24"/>
                <c:pt idx="0">
                  <c:v>1.7999999999999999E-2</c:v>
                </c:pt>
                <c:pt idx="1">
                  <c:v>0.104</c:v>
                </c:pt>
                <c:pt idx="2">
                  <c:v>0.29399999999999998</c:v>
                </c:pt>
                <c:pt idx="3">
                  <c:v>0.52600000000000002</c:v>
                </c:pt>
                <c:pt idx="4">
                  <c:v>0.73399999999999999</c:v>
                </c:pt>
                <c:pt idx="5">
                  <c:v>0.80500000000000005</c:v>
                </c:pt>
                <c:pt idx="6">
                  <c:v>0.74099999999999999</c:v>
                </c:pt>
                <c:pt idx="7">
                  <c:v>0.62</c:v>
                </c:pt>
                <c:pt idx="8">
                  <c:v>0.40200000000000002</c:v>
                </c:pt>
                <c:pt idx="9">
                  <c:v>0.23899999999999999</c:v>
                </c:pt>
                <c:pt idx="10">
                  <c:v>0.214</c:v>
                </c:pt>
                <c:pt idx="11">
                  <c:v>0.11799999999999999</c:v>
                </c:pt>
                <c:pt idx="12">
                  <c:v>6.2E-2</c:v>
                </c:pt>
                <c:pt idx="13">
                  <c:v>3.1E-2</c:v>
                </c:pt>
                <c:pt idx="14">
                  <c:v>1.2999999999999999E-2</c:v>
                </c:pt>
                <c:pt idx="15">
                  <c:v>5.0000000000000001E-3</c:v>
                </c:pt>
                <c:pt idx="16">
                  <c:v>6.0000000000000001E-3</c:v>
                </c:pt>
                <c:pt idx="17">
                  <c:v>1.7000000000000001E-2</c:v>
                </c:pt>
                <c:pt idx="18">
                  <c:v>1.7000000000000001E-2</c:v>
                </c:pt>
                <c:pt idx="19">
                  <c:v>1.2999999999999999E-2</c:v>
                </c:pt>
                <c:pt idx="20">
                  <c:v>8.9999999999999993E-3</c:v>
                </c:pt>
                <c:pt idx="21">
                  <c:v>7.0000000000000001E-3</c:v>
                </c:pt>
                <c:pt idx="22">
                  <c:v>8.9999999999999993E-3</c:v>
                </c:pt>
                <c:pt idx="23">
                  <c:v>0.01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F6-4A84-8EEB-76BC1FDB123F}"/>
            </c:ext>
          </c:extLst>
        </c:ser>
        <c:ser>
          <c:idx val="1"/>
          <c:order val="1"/>
          <c:tx>
            <c:v>Trial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'Moving input fiber, +y'!$D$3:$D$26</c:f>
              <c:numCache>
                <c:formatCode>General</c:formatCode>
                <c:ptCount val="24"/>
                <c:pt idx="0">
                  <c:v>0</c:v>
                </c:pt>
                <c:pt idx="1">
                  <c:v>0.22497187851518557</c:v>
                </c:pt>
                <c:pt idx="2">
                  <c:v>0.44994375703037115</c:v>
                </c:pt>
                <c:pt idx="3">
                  <c:v>0.67491563554555678</c:v>
                </c:pt>
                <c:pt idx="4">
                  <c:v>0.8998875140607423</c:v>
                </c:pt>
                <c:pt idx="5">
                  <c:v>1.124859392575928</c:v>
                </c:pt>
                <c:pt idx="6">
                  <c:v>1.3498312710911136</c:v>
                </c:pt>
                <c:pt idx="7">
                  <c:v>1.5748031496062991</c:v>
                </c:pt>
                <c:pt idx="8">
                  <c:v>1.7997750281214846</c:v>
                </c:pt>
                <c:pt idx="9">
                  <c:v>2.0247469066366701</c:v>
                </c:pt>
                <c:pt idx="10">
                  <c:v>2.2497187851518561</c:v>
                </c:pt>
                <c:pt idx="11">
                  <c:v>2.4746906636670416</c:v>
                </c:pt>
                <c:pt idx="12">
                  <c:v>2.6996625421822271</c:v>
                </c:pt>
                <c:pt idx="13">
                  <c:v>2.9246344206974126</c:v>
                </c:pt>
                <c:pt idx="14">
                  <c:v>3.1496062992125982</c:v>
                </c:pt>
                <c:pt idx="15">
                  <c:v>3.3745781777277837</c:v>
                </c:pt>
                <c:pt idx="16">
                  <c:v>3.5995500562429692</c:v>
                </c:pt>
                <c:pt idx="17">
                  <c:v>3.8245219347581552</c:v>
                </c:pt>
                <c:pt idx="18">
                  <c:v>4.0494938132733402</c:v>
                </c:pt>
                <c:pt idx="19">
                  <c:v>4.2744656917885262</c:v>
                </c:pt>
                <c:pt idx="20">
                  <c:v>4.4994375703037122</c:v>
                </c:pt>
                <c:pt idx="21">
                  <c:v>4.7244094488188972</c:v>
                </c:pt>
                <c:pt idx="22">
                  <c:v>4.9493813273340832</c:v>
                </c:pt>
                <c:pt idx="23">
                  <c:v>5.1743532058492683</c:v>
                </c:pt>
              </c:numCache>
            </c:numRef>
          </c:xVal>
          <c:yVal>
            <c:numRef>
              <c:f>'Moving input fiber, +y'!$E$28:$E$51</c:f>
              <c:numCache>
                <c:formatCode>General</c:formatCode>
                <c:ptCount val="24"/>
                <c:pt idx="0">
                  <c:v>3.1E-2</c:v>
                </c:pt>
                <c:pt idx="1">
                  <c:v>0.28499999999999998</c:v>
                </c:pt>
                <c:pt idx="2">
                  <c:v>0.50800000000000001</c:v>
                </c:pt>
                <c:pt idx="3">
                  <c:v>0.71599999999999997</c:v>
                </c:pt>
                <c:pt idx="4">
                  <c:v>0.76400000000000001</c:v>
                </c:pt>
                <c:pt idx="5">
                  <c:v>0.64800000000000002</c:v>
                </c:pt>
                <c:pt idx="6">
                  <c:v>0.59199999999999997</c:v>
                </c:pt>
                <c:pt idx="7">
                  <c:v>0.33600000000000002</c:v>
                </c:pt>
                <c:pt idx="8">
                  <c:v>0.219</c:v>
                </c:pt>
                <c:pt idx="9">
                  <c:v>0.121</c:v>
                </c:pt>
                <c:pt idx="10">
                  <c:v>6.4000000000000001E-2</c:v>
                </c:pt>
                <c:pt idx="11">
                  <c:v>4.2000000000000003E-2</c:v>
                </c:pt>
                <c:pt idx="12">
                  <c:v>5.0000000000000001E-3</c:v>
                </c:pt>
                <c:pt idx="13">
                  <c:v>3.0000000000000001E-3</c:v>
                </c:pt>
                <c:pt idx="14">
                  <c:v>3.0000000000000001E-3</c:v>
                </c:pt>
                <c:pt idx="15">
                  <c:v>8.9999999999999993E-3</c:v>
                </c:pt>
                <c:pt idx="16">
                  <c:v>1.6E-2</c:v>
                </c:pt>
                <c:pt idx="17">
                  <c:v>1.6E-2</c:v>
                </c:pt>
                <c:pt idx="18">
                  <c:v>1.2E-2</c:v>
                </c:pt>
                <c:pt idx="19">
                  <c:v>7.0000000000000001E-3</c:v>
                </c:pt>
                <c:pt idx="20">
                  <c:v>5.0000000000000001E-3</c:v>
                </c:pt>
                <c:pt idx="21">
                  <c:v>7.0000000000000001E-3</c:v>
                </c:pt>
                <c:pt idx="22">
                  <c:v>8.9999999999999993E-3</c:v>
                </c:pt>
                <c:pt idx="23">
                  <c:v>0.01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F6-4A84-8EEB-76BC1FDB123F}"/>
            </c:ext>
          </c:extLst>
        </c:ser>
        <c:ser>
          <c:idx val="2"/>
          <c:order val="2"/>
          <c:tx>
            <c:v>Trial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'Moving input fiber, +y'!$D$3:$D$26</c:f>
              <c:numCache>
                <c:formatCode>General</c:formatCode>
                <c:ptCount val="24"/>
                <c:pt idx="0">
                  <c:v>0</c:v>
                </c:pt>
                <c:pt idx="1">
                  <c:v>0.22497187851518557</c:v>
                </c:pt>
                <c:pt idx="2">
                  <c:v>0.44994375703037115</c:v>
                </c:pt>
                <c:pt idx="3">
                  <c:v>0.67491563554555678</c:v>
                </c:pt>
                <c:pt idx="4">
                  <c:v>0.8998875140607423</c:v>
                </c:pt>
                <c:pt idx="5">
                  <c:v>1.124859392575928</c:v>
                </c:pt>
                <c:pt idx="6">
                  <c:v>1.3498312710911136</c:v>
                </c:pt>
                <c:pt idx="7">
                  <c:v>1.5748031496062991</c:v>
                </c:pt>
                <c:pt idx="8">
                  <c:v>1.7997750281214846</c:v>
                </c:pt>
                <c:pt idx="9">
                  <c:v>2.0247469066366701</c:v>
                </c:pt>
                <c:pt idx="10">
                  <c:v>2.2497187851518561</c:v>
                </c:pt>
                <c:pt idx="11">
                  <c:v>2.4746906636670416</c:v>
                </c:pt>
                <c:pt idx="12">
                  <c:v>2.6996625421822271</c:v>
                </c:pt>
                <c:pt idx="13">
                  <c:v>2.9246344206974126</c:v>
                </c:pt>
                <c:pt idx="14">
                  <c:v>3.1496062992125982</c:v>
                </c:pt>
                <c:pt idx="15">
                  <c:v>3.3745781777277837</c:v>
                </c:pt>
                <c:pt idx="16">
                  <c:v>3.5995500562429692</c:v>
                </c:pt>
                <c:pt idx="17">
                  <c:v>3.8245219347581552</c:v>
                </c:pt>
                <c:pt idx="18">
                  <c:v>4.0494938132733402</c:v>
                </c:pt>
                <c:pt idx="19">
                  <c:v>4.2744656917885262</c:v>
                </c:pt>
                <c:pt idx="20">
                  <c:v>4.4994375703037122</c:v>
                </c:pt>
                <c:pt idx="21">
                  <c:v>4.7244094488188972</c:v>
                </c:pt>
                <c:pt idx="22">
                  <c:v>4.9493813273340832</c:v>
                </c:pt>
                <c:pt idx="23">
                  <c:v>5.1743532058492683</c:v>
                </c:pt>
              </c:numCache>
            </c:numRef>
          </c:xVal>
          <c:yVal>
            <c:numRef>
              <c:f>'Moving input fiber, +y'!$E$53:$E$76</c:f>
              <c:numCache>
                <c:formatCode>General</c:formatCode>
                <c:ptCount val="24"/>
                <c:pt idx="0">
                  <c:v>2.5000000000000001E-2</c:v>
                </c:pt>
                <c:pt idx="1">
                  <c:v>0.23200000000000001</c:v>
                </c:pt>
                <c:pt idx="2">
                  <c:v>0.44800000000000001</c:v>
                </c:pt>
                <c:pt idx="3">
                  <c:v>0.623</c:v>
                </c:pt>
                <c:pt idx="4">
                  <c:v>0.73099999999999998</c:v>
                </c:pt>
                <c:pt idx="5">
                  <c:v>0.71899999999999997</c:v>
                </c:pt>
                <c:pt idx="6">
                  <c:v>0.59799999999999998</c:v>
                </c:pt>
                <c:pt idx="7">
                  <c:v>0.42699999999999999</c:v>
                </c:pt>
                <c:pt idx="8">
                  <c:v>0.29399999999999998</c:v>
                </c:pt>
                <c:pt idx="9">
                  <c:v>0.28899999999999998</c:v>
                </c:pt>
                <c:pt idx="10">
                  <c:v>0.19500000000000001</c:v>
                </c:pt>
                <c:pt idx="11">
                  <c:v>0.11</c:v>
                </c:pt>
                <c:pt idx="12">
                  <c:v>6.3E-2</c:v>
                </c:pt>
                <c:pt idx="13">
                  <c:v>3.1E-2</c:v>
                </c:pt>
                <c:pt idx="14">
                  <c:v>1.4999999999999999E-2</c:v>
                </c:pt>
                <c:pt idx="15">
                  <c:v>2E-3</c:v>
                </c:pt>
                <c:pt idx="16">
                  <c:v>7.0000000000000001E-3</c:v>
                </c:pt>
                <c:pt idx="17">
                  <c:v>1.4E-2</c:v>
                </c:pt>
                <c:pt idx="18">
                  <c:v>1.4999999999999999E-2</c:v>
                </c:pt>
                <c:pt idx="19">
                  <c:v>1.0999999999999999E-2</c:v>
                </c:pt>
                <c:pt idx="20">
                  <c:v>8.0000000000000002E-3</c:v>
                </c:pt>
                <c:pt idx="21">
                  <c:v>6.0000000000000001E-3</c:v>
                </c:pt>
                <c:pt idx="22">
                  <c:v>7.0000000000000001E-3</c:v>
                </c:pt>
                <c:pt idx="23">
                  <c:v>8.0000000000000002E-3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2F6-4A84-8EEB-76BC1FDB1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836751"/>
        <c:axId val="1494837167"/>
      </c:scatterChart>
      <c:valAx>
        <c:axId val="1494836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baseline="0">
                    <a:effectLst/>
                  </a:rPr>
                  <a:t>+y (</a:t>
                </a:r>
                <a:r>
                  <a:rPr lang="el-GR" sz="1200" b="0" i="0" baseline="0">
                    <a:effectLst/>
                  </a:rPr>
                  <a:t>λ</a:t>
                </a:r>
                <a:r>
                  <a:rPr lang="en-US" sz="1200" b="0" i="0" baseline="0">
                    <a:effectLst/>
                  </a:rPr>
                  <a:t>/D)</a:t>
                </a:r>
                <a:endParaRPr lang="en-US" sz="12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837167"/>
        <c:crosses val="autoZero"/>
        <c:crossBetween val="midCat"/>
      </c:valAx>
      <c:valAx>
        <c:axId val="149483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(microwatts)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836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VFN demo, 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Trial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'Moving input fiber, x'!$A$3:$A$39</c:f>
              <c:numCache>
                <c:formatCode>General</c:formatCode>
                <c:ptCount val="37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</c:numCache>
            </c:numRef>
          </c:xVal>
          <c:yVal>
            <c:numRef>
              <c:f>'Moving input fiber, x'!$E$3:$E$39</c:f>
              <c:numCache>
                <c:formatCode>General</c:formatCode>
                <c:ptCount val="37"/>
                <c:pt idx="0">
                  <c:v>3.0000000000000001E-3</c:v>
                </c:pt>
                <c:pt idx="1">
                  <c:v>0.01</c:v>
                </c:pt>
                <c:pt idx="2">
                  <c:v>1.9E-2</c:v>
                </c:pt>
                <c:pt idx="3">
                  <c:v>3.1E-2</c:v>
                </c:pt>
                <c:pt idx="4">
                  <c:v>5.3999999999999999E-2</c:v>
                </c:pt>
                <c:pt idx="5">
                  <c:v>0.09</c:v>
                </c:pt>
                <c:pt idx="6">
                  <c:v>0.13500000000000001</c:v>
                </c:pt>
                <c:pt idx="7">
                  <c:v>0.19</c:v>
                </c:pt>
                <c:pt idx="8">
                  <c:v>0.24399999999999999</c:v>
                </c:pt>
                <c:pt idx="9">
                  <c:v>0.29499999999999998</c:v>
                </c:pt>
                <c:pt idx="10">
                  <c:v>0.34100000000000003</c:v>
                </c:pt>
                <c:pt idx="11">
                  <c:v>0.38300000000000001</c:v>
                </c:pt>
                <c:pt idx="12">
                  <c:v>0.39100000000000001</c:v>
                </c:pt>
                <c:pt idx="13">
                  <c:v>0.36799999999999999</c:v>
                </c:pt>
                <c:pt idx="14">
                  <c:v>0.32600000000000001</c:v>
                </c:pt>
                <c:pt idx="15">
                  <c:v>0.24</c:v>
                </c:pt>
                <c:pt idx="16">
                  <c:v>0.16</c:v>
                </c:pt>
                <c:pt idx="17">
                  <c:v>8.7999999999999995E-2</c:v>
                </c:pt>
                <c:pt idx="18">
                  <c:v>6.9000000000000006E-2</c:v>
                </c:pt>
                <c:pt idx="19">
                  <c:v>0.14699999999999999</c:v>
                </c:pt>
                <c:pt idx="20">
                  <c:v>0.38400000000000001</c:v>
                </c:pt>
                <c:pt idx="21">
                  <c:v>0.58399999999999996</c:v>
                </c:pt>
                <c:pt idx="22">
                  <c:v>0.73299999999999998</c:v>
                </c:pt>
                <c:pt idx="23">
                  <c:v>0.80100000000000005</c:v>
                </c:pt>
                <c:pt idx="24">
                  <c:v>0.73199999999999998</c:v>
                </c:pt>
                <c:pt idx="25">
                  <c:v>0.623</c:v>
                </c:pt>
                <c:pt idx="26">
                  <c:v>0.45400000000000001</c:v>
                </c:pt>
                <c:pt idx="27">
                  <c:v>0.28399999999999997</c:v>
                </c:pt>
                <c:pt idx="28">
                  <c:v>0.14299999999999999</c:v>
                </c:pt>
                <c:pt idx="29">
                  <c:v>7.1999999999999995E-2</c:v>
                </c:pt>
                <c:pt idx="30">
                  <c:v>4.1000000000000002E-2</c:v>
                </c:pt>
                <c:pt idx="31">
                  <c:v>1.6E-2</c:v>
                </c:pt>
                <c:pt idx="32">
                  <c:v>8.0000000000000002E-3</c:v>
                </c:pt>
                <c:pt idx="33">
                  <c:v>5.0000000000000001E-3</c:v>
                </c:pt>
                <c:pt idx="34">
                  <c:v>3.0000000000000001E-3</c:v>
                </c:pt>
                <c:pt idx="35">
                  <c:v>3.0000000000000001E-3</c:v>
                </c:pt>
                <c:pt idx="36">
                  <c:v>3.0000000000000001E-3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B-437E-88FA-51FD0A8D00C8}"/>
            </c:ext>
          </c:extLst>
        </c:ser>
        <c:ser>
          <c:idx val="1"/>
          <c:order val="1"/>
          <c:tx>
            <c:v>Trial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'Moving input fiber, x'!$A$41:$A$77</c:f>
              <c:numCache>
                <c:formatCode>General</c:formatCode>
                <c:ptCount val="37"/>
                <c:pt idx="0">
                  <c:v>20</c:v>
                </c:pt>
                <c:pt idx="1">
                  <c:v>19.5</c:v>
                </c:pt>
                <c:pt idx="2">
                  <c:v>19</c:v>
                </c:pt>
                <c:pt idx="3">
                  <c:v>18.5</c:v>
                </c:pt>
                <c:pt idx="4">
                  <c:v>18</c:v>
                </c:pt>
                <c:pt idx="5">
                  <c:v>17.5</c:v>
                </c:pt>
                <c:pt idx="6">
                  <c:v>17</c:v>
                </c:pt>
                <c:pt idx="7">
                  <c:v>16.5</c:v>
                </c:pt>
                <c:pt idx="8">
                  <c:v>16</c:v>
                </c:pt>
                <c:pt idx="9">
                  <c:v>15.5</c:v>
                </c:pt>
                <c:pt idx="10">
                  <c:v>15</c:v>
                </c:pt>
                <c:pt idx="11">
                  <c:v>14.5</c:v>
                </c:pt>
                <c:pt idx="12">
                  <c:v>14</c:v>
                </c:pt>
                <c:pt idx="13">
                  <c:v>13.5</c:v>
                </c:pt>
                <c:pt idx="14">
                  <c:v>13</c:v>
                </c:pt>
                <c:pt idx="15">
                  <c:v>12.5</c:v>
                </c:pt>
                <c:pt idx="16">
                  <c:v>12</c:v>
                </c:pt>
                <c:pt idx="17">
                  <c:v>11.5</c:v>
                </c:pt>
                <c:pt idx="18">
                  <c:v>11</c:v>
                </c:pt>
                <c:pt idx="19">
                  <c:v>10.5</c:v>
                </c:pt>
                <c:pt idx="20">
                  <c:v>10</c:v>
                </c:pt>
                <c:pt idx="21">
                  <c:v>9.5</c:v>
                </c:pt>
                <c:pt idx="22">
                  <c:v>9</c:v>
                </c:pt>
                <c:pt idx="23">
                  <c:v>8.5</c:v>
                </c:pt>
                <c:pt idx="24">
                  <c:v>8</c:v>
                </c:pt>
                <c:pt idx="25">
                  <c:v>7.5</c:v>
                </c:pt>
                <c:pt idx="26">
                  <c:v>7</c:v>
                </c:pt>
                <c:pt idx="27">
                  <c:v>6.5</c:v>
                </c:pt>
                <c:pt idx="28">
                  <c:v>6</c:v>
                </c:pt>
                <c:pt idx="29">
                  <c:v>5.5</c:v>
                </c:pt>
                <c:pt idx="30">
                  <c:v>5</c:v>
                </c:pt>
                <c:pt idx="31">
                  <c:v>4.5</c:v>
                </c:pt>
                <c:pt idx="32">
                  <c:v>4</c:v>
                </c:pt>
                <c:pt idx="33">
                  <c:v>3.5</c:v>
                </c:pt>
                <c:pt idx="34">
                  <c:v>3</c:v>
                </c:pt>
                <c:pt idx="35">
                  <c:v>2.5</c:v>
                </c:pt>
                <c:pt idx="36">
                  <c:v>2</c:v>
                </c:pt>
              </c:numCache>
            </c:numRef>
          </c:xVal>
          <c:yVal>
            <c:numRef>
              <c:f>'Moving input fiber, x'!$E$41:$E$77</c:f>
              <c:numCache>
                <c:formatCode>General</c:formatCode>
                <c:ptCount val="37"/>
                <c:pt idx="0">
                  <c:v>4.0000000000000001E-3</c:v>
                </c:pt>
                <c:pt idx="1">
                  <c:v>5.0000000000000001E-3</c:v>
                </c:pt>
                <c:pt idx="2">
                  <c:v>6.0000000000000001E-3</c:v>
                </c:pt>
                <c:pt idx="3">
                  <c:v>1.4999999999999999E-2</c:v>
                </c:pt>
                <c:pt idx="4">
                  <c:v>2.9000000000000001E-2</c:v>
                </c:pt>
                <c:pt idx="5">
                  <c:v>5.1999999999999998E-2</c:v>
                </c:pt>
                <c:pt idx="6">
                  <c:v>0.105</c:v>
                </c:pt>
                <c:pt idx="7">
                  <c:v>0.19600000000000001</c:v>
                </c:pt>
                <c:pt idx="8">
                  <c:v>0.35299999999999998</c:v>
                </c:pt>
                <c:pt idx="9">
                  <c:v>0.51800000000000002</c:v>
                </c:pt>
                <c:pt idx="10">
                  <c:v>0.67700000000000005</c:v>
                </c:pt>
                <c:pt idx="11">
                  <c:v>0.73399999999999999</c:v>
                </c:pt>
                <c:pt idx="12">
                  <c:v>0.749</c:v>
                </c:pt>
                <c:pt idx="13">
                  <c:v>0.65800000000000003</c:v>
                </c:pt>
                <c:pt idx="14">
                  <c:v>0.499</c:v>
                </c:pt>
                <c:pt idx="15">
                  <c:v>0.29499999999999998</c:v>
                </c:pt>
                <c:pt idx="16">
                  <c:v>0.193</c:v>
                </c:pt>
                <c:pt idx="17">
                  <c:v>0.13400000000000001</c:v>
                </c:pt>
                <c:pt idx="18">
                  <c:v>0.13300000000000001</c:v>
                </c:pt>
                <c:pt idx="19">
                  <c:v>0.192</c:v>
                </c:pt>
                <c:pt idx="20">
                  <c:v>0.26100000000000001</c:v>
                </c:pt>
                <c:pt idx="21">
                  <c:v>0.312</c:v>
                </c:pt>
                <c:pt idx="22">
                  <c:v>0.36</c:v>
                </c:pt>
                <c:pt idx="23">
                  <c:v>0.376</c:v>
                </c:pt>
                <c:pt idx="24">
                  <c:v>0.36399999999999999</c:v>
                </c:pt>
                <c:pt idx="25">
                  <c:v>0.32400000000000001</c:v>
                </c:pt>
                <c:pt idx="26">
                  <c:v>0.28299999999999997</c:v>
                </c:pt>
                <c:pt idx="27">
                  <c:v>0.23</c:v>
                </c:pt>
                <c:pt idx="28">
                  <c:v>0.16300000000000001</c:v>
                </c:pt>
                <c:pt idx="29">
                  <c:v>0.12</c:v>
                </c:pt>
                <c:pt idx="30">
                  <c:v>7.0000000000000007E-2</c:v>
                </c:pt>
                <c:pt idx="31">
                  <c:v>4.3999999999999997E-2</c:v>
                </c:pt>
                <c:pt idx="32">
                  <c:v>2.5999999999999999E-2</c:v>
                </c:pt>
                <c:pt idx="33">
                  <c:v>1.6E-2</c:v>
                </c:pt>
                <c:pt idx="34">
                  <c:v>8.0000000000000002E-3</c:v>
                </c:pt>
                <c:pt idx="35">
                  <c:v>5.0000000000000001E-3</c:v>
                </c:pt>
                <c:pt idx="36">
                  <c:v>4.0000000000000001E-3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6FB-437E-88FA-51FD0A8D00C8}"/>
            </c:ext>
          </c:extLst>
        </c:ser>
        <c:ser>
          <c:idx val="2"/>
          <c:order val="2"/>
          <c:tx>
            <c:v>Trial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'Moving input fiber, x'!$A$79:$A$115</c:f>
              <c:strCache>
                <c:ptCount val="37"/>
                <c:pt idx="0">
                  <c:v>2.5</c:v>
                </c:pt>
                <c:pt idx="1">
                  <c:v>3</c:v>
                </c:pt>
                <c:pt idx="2">
                  <c:v>3.5</c:v>
                </c:pt>
                <c:pt idx="3">
                  <c:v>4</c:v>
                </c:pt>
                <c:pt idx="4">
                  <c:v>4.5</c:v>
                </c:pt>
                <c:pt idx="5">
                  <c:v>5</c:v>
                </c:pt>
                <c:pt idx="6">
                  <c:v>5.5</c:v>
                </c:pt>
                <c:pt idx="7">
                  <c:v>6</c:v>
                </c:pt>
                <c:pt idx="8">
                  <c:v>6.5</c:v>
                </c:pt>
                <c:pt idx="9">
                  <c:v>7</c:v>
                </c:pt>
                <c:pt idx="10">
                  <c:v>7.5</c:v>
                </c:pt>
                <c:pt idx="11">
                  <c:v>8</c:v>
                </c:pt>
                <c:pt idx="12">
                  <c:v>8.5</c:v>
                </c:pt>
                <c:pt idx="13">
                  <c:v>9</c:v>
                </c:pt>
                <c:pt idx="14">
                  <c:v>9.5</c:v>
                </c:pt>
                <c:pt idx="15">
                  <c:v>10</c:v>
                </c:pt>
                <c:pt idx="16">
                  <c:v>10.5</c:v>
                </c:pt>
                <c:pt idx="17">
                  <c:v>11</c:v>
                </c:pt>
                <c:pt idx="18">
                  <c:v>11.5</c:v>
                </c:pt>
                <c:pt idx="19">
                  <c:v>12</c:v>
                </c:pt>
                <c:pt idx="20">
                  <c:v>12.5</c:v>
                </c:pt>
                <c:pt idx="21">
                  <c:v>13</c:v>
                </c:pt>
                <c:pt idx="22">
                  <c:v>TRIAL 2:</c:v>
                </c:pt>
                <c:pt idx="23">
                  <c:v>12.5</c:v>
                </c:pt>
                <c:pt idx="24">
                  <c:v>12</c:v>
                </c:pt>
                <c:pt idx="25">
                  <c:v>11.5</c:v>
                </c:pt>
                <c:pt idx="26">
                  <c:v>11</c:v>
                </c:pt>
                <c:pt idx="27">
                  <c:v>10.5</c:v>
                </c:pt>
                <c:pt idx="28">
                  <c:v>10</c:v>
                </c:pt>
                <c:pt idx="29">
                  <c:v>9.5</c:v>
                </c:pt>
                <c:pt idx="30">
                  <c:v>9</c:v>
                </c:pt>
                <c:pt idx="31">
                  <c:v>8.5</c:v>
                </c:pt>
                <c:pt idx="32">
                  <c:v>8</c:v>
                </c:pt>
                <c:pt idx="33">
                  <c:v>7.5</c:v>
                </c:pt>
                <c:pt idx="34">
                  <c:v>7</c:v>
                </c:pt>
                <c:pt idx="35">
                  <c:v>6.5</c:v>
                </c:pt>
                <c:pt idx="36">
                  <c:v>6</c:v>
                </c:pt>
              </c:strCache>
            </c:strRef>
          </c:xVal>
          <c:yVal>
            <c:numRef>
              <c:f>'Moving input fiber, x'!$E$79:$E$115</c:f>
              <c:numCache>
                <c:formatCode>General</c:formatCode>
                <c:ptCount val="37"/>
                <c:pt idx="0">
                  <c:v>1.9E-2</c:v>
                </c:pt>
                <c:pt idx="1">
                  <c:v>0.14399999999999999</c:v>
                </c:pt>
                <c:pt idx="2">
                  <c:v>0.316</c:v>
                </c:pt>
                <c:pt idx="3">
                  <c:v>0.433</c:v>
                </c:pt>
                <c:pt idx="4">
                  <c:v>0.58899999999999997</c:v>
                </c:pt>
                <c:pt idx="5">
                  <c:v>0.68500000000000005</c:v>
                </c:pt>
                <c:pt idx="6">
                  <c:v>0.56699999999999995</c:v>
                </c:pt>
                <c:pt idx="7">
                  <c:v>0.34</c:v>
                </c:pt>
                <c:pt idx="8">
                  <c:v>0.21299999999999999</c:v>
                </c:pt>
                <c:pt idx="9">
                  <c:v>0.11799999999999999</c:v>
                </c:pt>
                <c:pt idx="10">
                  <c:v>0.06</c:v>
                </c:pt>
                <c:pt idx="11">
                  <c:v>3.4000000000000002E-2</c:v>
                </c:pt>
                <c:pt idx="12">
                  <c:v>2.1000000000000001E-2</c:v>
                </c:pt>
                <c:pt idx="13">
                  <c:v>1.6E-2</c:v>
                </c:pt>
                <c:pt idx="14">
                  <c:v>1.4E-2</c:v>
                </c:pt>
                <c:pt idx="15">
                  <c:v>1.2E-2</c:v>
                </c:pt>
                <c:pt idx="16">
                  <c:v>8.9999999999999993E-3</c:v>
                </c:pt>
                <c:pt idx="17">
                  <c:v>5.0000000000000001E-3</c:v>
                </c:pt>
                <c:pt idx="18">
                  <c:v>2E-3</c:v>
                </c:pt>
                <c:pt idx="19">
                  <c:v>0</c:v>
                </c:pt>
                <c:pt idx="20">
                  <c:v>1E-3</c:v>
                </c:pt>
                <c:pt idx="21">
                  <c:v>1E-3</c:v>
                </c:pt>
                <c:pt idx="23">
                  <c:v>3.0000000000000001E-3</c:v>
                </c:pt>
                <c:pt idx="24">
                  <c:v>6.0000000000000001E-3</c:v>
                </c:pt>
                <c:pt idx="25">
                  <c:v>8.0000000000000002E-3</c:v>
                </c:pt>
                <c:pt idx="26">
                  <c:v>0.01</c:v>
                </c:pt>
                <c:pt idx="27">
                  <c:v>1.0999999999999999E-2</c:v>
                </c:pt>
                <c:pt idx="28">
                  <c:v>1.2E-2</c:v>
                </c:pt>
                <c:pt idx="29">
                  <c:v>1.6E-2</c:v>
                </c:pt>
                <c:pt idx="30">
                  <c:v>2.5999999999999999E-2</c:v>
                </c:pt>
                <c:pt idx="31">
                  <c:v>6.6000000000000003E-2</c:v>
                </c:pt>
                <c:pt idx="32">
                  <c:v>0.13900000000000001</c:v>
                </c:pt>
                <c:pt idx="33">
                  <c:v>0.24199999999999999</c:v>
                </c:pt>
                <c:pt idx="34">
                  <c:v>0.39700000000000002</c:v>
                </c:pt>
                <c:pt idx="35">
                  <c:v>0.54100000000000004</c:v>
                </c:pt>
                <c:pt idx="36">
                  <c:v>0.67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6FB-437E-88FA-51FD0A8D0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6169807"/>
        <c:axId val="671285439"/>
      </c:scatterChart>
      <c:valAx>
        <c:axId val="736169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285439"/>
        <c:crosses val="autoZero"/>
        <c:crossBetween val="midCat"/>
      </c:valAx>
      <c:valAx>
        <c:axId val="67128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(microwatts)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1698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VFN</a:t>
            </a:r>
            <a:r>
              <a:rPr lang="en-US" baseline="0"/>
              <a:t> demo, 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Trial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'Moving input fiber, x'!$A$79:$A$100</c:f>
              <c:numCache>
                <c:formatCode>General</c:formatCode>
                <c:ptCount val="22"/>
                <c:pt idx="0">
                  <c:v>2.5</c:v>
                </c:pt>
                <c:pt idx="1">
                  <c:v>3</c:v>
                </c:pt>
                <c:pt idx="2">
                  <c:v>3.5</c:v>
                </c:pt>
                <c:pt idx="3">
                  <c:v>4</c:v>
                </c:pt>
                <c:pt idx="4">
                  <c:v>4.5</c:v>
                </c:pt>
                <c:pt idx="5">
                  <c:v>5</c:v>
                </c:pt>
                <c:pt idx="6">
                  <c:v>5.5</c:v>
                </c:pt>
                <c:pt idx="7">
                  <c:v>6</c:v>
                </c:pt>
                <c:pt idx="8">
                  <c:v>6.5</c:v>
                </c:pt>
                <c:pt idx="9">
                  <c:v>7</c:v>
                </c:pt>
                <c:pt idx="10">
                  <c:v>7.5</c:v>
                </c:pt>
                <c:pt idx="11">
                  <c:v>8</c:v>
                </c:pt>
                <c:pt idx="12">
                  <c:v>8.5</c:v>
                </c:pt>
                <c:pt idx="13">
                  <c:v>9</c:v>
                </c:pt>
                <c:pt idx="14">
                  <c:v>9.5</c:v>
                </c:pt>
                <c:pt idx="15">
                  <c:v>10</c:v>
                </c:pt>
                <c:pt idx="16">
                  <c:v>10.5</c:v>
                </c:pt>
                <c:pt idx="17">
                  <c:v>11</c:v>
                </c:pt>
                <c:pt idx="18">
                  <c:v>11.5</c:v>
                </c:pt>
                <c:pt idx="19">
                  <c:v>12</c:v>
                </c:pt>
                <c:pt idx="20">
                  <c:v>12.5</c:v>
                </c:pt>
                <c:pt idx="21">
                  <c:v>13</c:v>
                </c:pt>
              </c:numCache>
            </c:numRef>
          </c:xVal>
          <c:yVal>
            <c:numRef>
              <c:f>'Moving input fiber, x'!$E$79:$E$100</c:f>
              <c:numCache>
                <c:formatCode>General</c:formatCode>
                <c:ptCount val="22"/>
                <c:pt idx="0">
                  <c:v>1.9E-2</c:v>
                </c:pt>
                <c:pt idx="1">
                  <c:v>0.14399999999999999</c:v>
                </c:pt>
                <c:pt idx="2">
                  <c:v>0.316</c:v>
                </c:pt>
                <c:pt idx="3">
                  <c:v>0.433</c:v>
                </c:pt>
                <c:pt idx="4">
                  <c:v>0.58899999999999997</c:v>
                </c:pt>
                <c:pt idx="5">
                  <c:v>0.68500000000000005</c:v>
                </c:pt>
                <c:pt idx="6">
                  <c:v>0.56699999999999995</c:v>
                </c:pt>
                <c:pt idx="7">
                  <c:v>0.34</c:v>
                </c:pt>
                <c:pt idx="8">
                  <c:v>0.21299999999999999</c:v>
                </c:pt>
                <c:pt idx="9">
                  <c:v>0.11799999999999999</c:v>
                </c:pt>
                <c:pt idx="10">
                  <c:v>0.06</c:v>
                </c:pt>
                <c:pt idx="11">
                  <c:v>3.4000000000000002E-2</c:v>
                </c:pt>
                <c:pt idx="12">
                  <c:v>2.1000000000000001E-2</c:v>
                </c:pt>
                <c:pt idx="13">
                  <c:v>1.6E-2</c:v>
                </c:pt>
                <c:pt idx="14">
                  <c:v>1.4E-2</c:v>
                </c:pt>
                <c:pt idx="15">
                  <c:v>1.2E-2</c:v>
                </c:pt>
                <c:pt idx="16">
                  <c:v>8.9999999999999993E-3</c:v>
                </c:pt>
                <c:pt idx="17">
                  <c:v>5.0000000000000001E-3</c:v>
                </c:pt>
                <c:pt idx="18">
                  <c:v>2E-3</c:v>
                </c:pt>
                <c:pt idx="19">
                  <c:v>0</c:v>
                </c:pt>
                <c:pt idx="20">
                  <c:v>1E-3</c:v>
                </c:pt>
                <c:pt idx="21">
                  <c:v>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A14-40C6-9F48-727254A23BE1}"/>
            </c:ext>
          </c:extLst>
        </c:ser>
        <c:ser>
          <c:idx val="0"/>
          <c:order val="1"/>
          <c:tx>
            <c:v>Trial 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'Moving input fiber, x'!$A$102:$A$144</c:f>
              <c:numCache>
                <c:formatCode>General</c:formatCode>
                <c:ptCount val="43"/>
                <c:pt idx="0">
                  <c:v>12.5</c:v>
                </c:pt>
                <c:pt idx="1">
                  <c:v>12</c:v>
                </c:pt>
                <c:pt idx="2">
                  <c:v>11.5</c:v>
                </c:pt>
                <c:pt idx="3">
                  <c:v>11</c:v>
                </c:pt>
                <c:pt idx="4">
                  <c:v>10.5</c:v>
                </c:pt>
                <c:pt idx="5">
                  <c:v>10</c:v>
                </c:pt>
                <c:pt idx="6">
                  <c:v>9.5</c:v>
                </c:pt>
                <c:pt idx="7">
                  <c:v>9</c:v>
                </c:pt>
                <c:pt idx="8">
                  <c:v>8.5</c:v>
                </c:pt>
                <c:pt idx="9">
                  <c:v>8</c:v>
                </c:pt>
                <c:pt idx="10">
                  <c:v>7.5</c:v>
                </c:pt>
                <c:pt idx="11">
                  <c:v>7</c:v>
                </c:pt>
                <c:pt idx="12">
                  <c:v>6.5</c:v>
                </c:pt>
                <c:pt idx="13">
                  <c:v>6</c:v>
                </c:pt>
                <c:pt idx="14">
                  <c:v>5.5</c:v>
                </c:pt>
                <c:pt idx="15">
                  <c:v>5</c:v>
                </c:pt>
                <c:pt idx="16">
                  <c:v>4.5</c:v>
                </c:pt>
                <c:pt idx="17">
                  <c:v>4</c:v>
                </c:pt>
                <c:pt idx="18">
                  <c:v>3.5</c:v>
                </c:pt>
                <c:pt idx="19">
                  <c:v>3</c:v>
                </c:pt>
                <c:pt idx="20">
                  <c:v>2.5</c:v>
                </c:pt>
                <c:pt idx="21">
                  <c:v>2</c:v>
                </c:pt>
                <c:pt idx="22">
                  <c:v>1.5</c:v>
                </c:pt>
                <c:pt idx="23">
                  <c:v>1</c:v>
                </c:pt>
                <c:pt idx="24">
                  <c:v>0.5</c:v>
                </c:pt>
                <c:pt idx="25">
                  <c:v>0</c:v>
                </c:pt>
                <c:pt idx="26">
                  <c:v>-0.5</c:v>
                </c:pt>
                <c:pt idx="27">
                  <c:v>-1</c:v>
                </c:pt>
                <c:pt idx="28">
                  <c:v>-1.5</c:v>
                </c:pt>
                <c:pt idx="29">
                  <c:v>-2</c:v>
                </c:pt>
                <c:pt idx="30">
                  <c:v>-2.5</c:v>
                </c:pt>
                <c:pt idx="31">
                  <c:v>-3</c:v>
                </c:pt>
                <c:pt idx="32">
                  <c:v>-3.5</c:v>
                </c:pt>
                <c:pt idx="33">
                  <c:v>-4</c:v>
                </c:pt>
                <c:pt idx="34">
                  <c:v>-4.5</c:v>
                </c:pt>
                <c:pt idx="35">
                  <c:v>-5</c:v>
                </c:pt>
                <c:pt idx="36">
                  <c:v>-5.5</c:v>
                </c:pt>
                <c:pt idx="37">
                  <c:v>-6</c:v>
                </c:pt>
                <c:pt idx="38">
                  <c:v>-6.5</c:v>
                </c:pt>
                <c:pt idx="39">
                  <c:v>-7</c:v>
                </c:pt>
                <c:pt idx="40">
                  <c:v>-7.5</c:v>
                </c:pt>
                <c:pt idx="41">
                  <c:v>-8</c:v>
                </c:pt>
                <c:pt idx="42">
                  <c:v>-8.5</c:v>
                </c:pt>
              </c:numCache>
            </c:numRef>
          </c:xVal>
          <c:yVal>
            <c:numRef>
              <c:f>'Moving input fiber, x'!$E$102:$E$144</c:f>
              <c:numCache>
                <c:formatCode>General</c:formatCode>
                <c:ptCount val="43"/>
                <c:pt idx="0">
                  <c:v>3.0000000000000001E-3</c:v>
                </c:pt>
                <c:pt idx="1">
                  <c:v>6.0000000000000001E-3</c:v>
                </c:pt>
                <c:pt idx="2">
                  <c:v>8.0000000000000002E-3</c:v>
                </c:pt>
                <c:pt idx="3">
                  <c:v>0.01</c:v>
                </c:pt>
                <c:pt idx="4">
                  <c:v>1.0999999999999999E-2</c:v>
                </c:pt>
                <c:pt idx="5">
                  <c:v>1.2E-2</c:v>
                </c:pt>
                <c:pt idx="6">
                  <c:v>1.6E-2</c:v>
                </c:pt>
                <c:pt idx="7">
                  <c:v>2.5999999999999999E-2</c:v>
                </c:pt>
                <c:pt idx="8">
                  <c:v>6.6000000000000003E-2</c:v>
                </c:pt>
                <c:pt idx="9">
                  <c:v>0.13900000000000001</c:v>
                </c:pt>
                <c:pt idx="10">
                  <c:v>0.24199999999999999</c:v>
                </c:pt>
                <c:pt idx="11">
                  <c:v>0.39700000000000002</c:v>
                </c:pt>
                <c:pt idx="12">
                  <c:v>0.54100000000000004</c:v>
                </c:pt>
                <c:pt idx="13">
                  <c:v>0.67</c:v>
                </c:pt>
                <c:pt idx="14">
                  <c:v>0.68700000000000006</c:v>
                </c:pt>
                <c:pt idx="15">
                  <c:v>0.63400000000000001</c:v>
                </c:pt>
                <c:pt idx="16">
                  <c:v>0.495</c:v>
                </c:pt>
                <c:pt idx="17">
                  <c:v>0.29199999999999998</c:v>
                </c:pt>
                <c:pt idx="18">
                  <c:v>0.14299999999999999</c:v>
                </c:pt>
                <c:pt idx="19">
                  <c:v>2.4E-2</c:v>
                </c:pt>
                <c:pt idx="20">
                  <c:v>0.03</c:v>
                </c:pt>
                <c:pt idx="21">
                  <c:v>0.11600000000000001</c:v>
                </c:pt>
                <c:pt idx="22">
                  <c:v>0.26500000000000001</c:v>
                </c:pt>
                <c:pt idx="23">
                  <c:v>0.41399999999999998</c:v>
                </c:pt>
                <c:pt idx="24">
                  <c:v>0.499</c:v>
                </c:pt>
                <c:pt idx="25">
                  <c:v>0.55200000000000005</c:v>
                </c:pt>
                <c:pt idx="26">
                  <c:v>0.498</c:v>
                </c:pt>
                <c:pt idx="27">
                  <c:v>0.42899999999999999</c:v>
                </c:pt>
                <c:pt idx="28">
                  <c:v>0.34200000000000003</c:v>
                </c:pt>
                <c:pt idx="29">
                  <c:v>0.28599999999999998</c:v>
                </c:pt>
                <c:pt idx="30">
                  <c:v>0.19500000000000001</c:v>
                </c:pt>
                <c:pt idx="31">
                  <c:v>0.13600000000000001</c:v>
                </c:pt>
                <c:pt idx="32">
                  <c:v>0.10100000000000001</c:v>
                </c:pt>
                <c:pt idx="33">
                  <c:v>6.5000000000000002E-2</c:v>
                </c:pt>
                <c:pt idx="34">
                  <c:v>4.4999999999999998E-2</c:v>
                </c:pt>
                <c:pt idx="35">
                  <c:v>2.8000000000000001E-2</c:v>
                </c:pt>
                <c:pt idx="36">
                  <c:v>1.2999999999999999E-2</c:v>
                </c:pt>
                <c:pt idx="37">
                  <c:v>0.01</c:v>
                </c:pt>
                <c:pt idx="38">
                  <c:v>6.0000000000000001E-3</c:v>
                </c:pt>
                <c:pt idx="39">
                  <c:v>7.0000000000000001E-3</c:v>
                </c:pt>
                <c:pt idx="40">
                  <c:v>8.9999999999999993E-3</c:v>
                </c:pt>
                <c:pt idx="41">
                  <c:v>1.2E-2</c:v>
                </c:pt>
                <c:pt idx="42">
                  <c:v>1.4E-2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A14-40C6-9F48-727254A23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467535"/>
        <c:axId val="495467951"/>
      </c:scatterChart>
      <c:valAx>
        <c:axId val="49546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(tickmarks)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67951"/>
        <c:crosses val="autoZero"/>
        <c:crossBetween val="midCat"/>
      </c:valAx>
      <c:valAx>
        <c:axId val="49546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(microwatts)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67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2657475</xdr:colOff>
      <xdr:row>1</xdr:row>
      <xdr:rowOff>180975</xdr:rowOff>
    </xdr:from>
    <xdr:to>
      <xdr:col>9</xdr:col>
      <xdr:colOff>98425</xdr:colOff>
      <xdr:row>16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E092750-B15F-4E1A-9DDE-FB4385DA39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17236</xdr:colOff>
      <xdr:row>4</xdr:row>
      <xdr:rowOff>88901</xdr:rowOff>
    </xdr:from>
    <xdr:to>
      <xdr:col>17</xdr:col>
      <xdr:colOff>152400</xdr:colOff>
      <xdr:row>23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4E18A4-CB0F-4A03-B004-DFEC56EDC1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3350986</xdr:colOff>
      <xdr:row>3</xdr:row>
      <xdr:rowOff>120651</xdr:rowOff>
    </xdr:from>
    <xdr:to>
      <xdr:col>16</xdr:col>
      <xdr:colOff>482600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1D8F3F-72AA-4F0A-924E-DDD822007B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149225</xdr:colOff>
      <xdr:row>4</xdr:row>
      <xdr:rowOff>104775</xdr:rowOff>
    </xdr:from>
    <xdr:to>
      <xdr:col>15</xdr:col>
      <xdr:colOff>454025</xdr:colOff>
      <xdr:row>19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576AB3-7CB9-4142-882C-E8634544E4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803275</xdr:colOff>
      <xdr:row>5</xdr:row>
      <xdr:rowOff>155575</xdr:rowOff>
    </xdr:from>
    <xdr:to>
      <xdr:col>13</xdr:col>
      <xdr:colOff>206375</xdr:colOff>
      <xdr:row>20</xdr:row>
      <xdr:rowOff>136525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77F545-9EA6-4F3F-AFAD-7CF02CEEFB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1050924</xdr:colOff>
      <xdr:row>4</xdr:row>
      <xdr:rowOff>53974</xdr:rowOff>
    </xdr:from>
    <xdr:to>
      <xdr:col>11</xdr:col>
      <xdr:colOff>603249</xdr:colOff>
      <xdr:row>20</xdr:row>
      <xdr:rowOff>165099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8A7184-85F7-4D30-8E10-EB0C35CC91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568325</xdr:colOff>
      <xdr:row>6</xdr:row>
      <xdr:rowOff>28575</xdr:rowOff>
    </xdr:from>
    <xdr:to>
      <xdr:col>14</xdr:col>
      <xdr:colOff>517525</xdr:colOff>
      <xdr:row>21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8EC37D-A7D9-4F49-BDB6-B638F2AC54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295275</xdr:colOff>
      <xdr:row>100</xdr:row>
      <xdr:rowOff>92075</xdr:rowOff>
    </xdr:from>
    <xdr:to>
      <xdr:col>15</xdr:col>
      <xdr:colOff>600075</xdr:colOff>
      <xdr:row>115</xdr:row>
      <xdr:rowOff>73025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5115A4-133F-4299-B00A-6039DE38B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ai Asnodkar, Anusha J." id="{E3D67FD2-858C-484E-8FEA-059CD9AFBC12}" userId="S-1-5-21-3711032425-755364728-2729317452-21133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78" dT="2022-04-18T17:21:12.28" personId="{E3D67FD2-858C-484E-8FEA-059CD9AFBC12}" id="{56BC5293-D2D8-41A7-BE48-0EBFD4ACB558}">
    <text>Aligned extremes to have ~same power</text>
  </threadedComment>
  <threadedComment ref="A145" dT="2022-04-18T17:21:12.28" personId="{E3D67FD2-858C-484E-8FEA-059CD9AFBC12}" id="{2E7DDB5F-3B34-4E87-BFDF-953D548CDADB}">
    <text>Aligned extremes to have ~same power</text>
  </threadedComment>
  <threadedComment ref="A165" dT="2022-04-18T17:21:12.28" personId="{E3D67FD2-858C-484E-8FEA-059CD9AFBC12}" id="{AA843CEA-79DD-44FF-9669-6A1E03DF20DB}">
    <text>Aligned extremes to have ~same power</text>
  </threadedComment>
  <threadedComment ref="A215" dT="2022-04-18T17:21:12.28" personId="{E3D67FD2-858C-484E-8FEA-059CD9AFBC12}" id="{DCCACE67-3749-416B-826F-346A52B4E14B}">
    <text>Aligned extremes to have ~same power</text>
  </threadedComment>
  <threadedComment ref="A280" dT="2022-04-18T17:21:12.28" personId="{E3D67FD2-858C-484E-8FEA-059CD9AFBC12}" id="{20B5632E-6582-4AFA-9C24-53AE806C8770}">
    <text>Aligned extremes to have ~same power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" dT="2022-04-18T17:21:12.28" personId="{E3D67FD2-858C-484E-8FEA-059CD9AFBC12}" id="{28239E11-F823-4890-9843-E4F8FB1BB5F0}">
    <text>Aligned extremes to have ~same power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9B1AF-B95A-45F6-808B-AF301C5AF4F7}">
  <dimension ref="A1:E18"/>
  <sheetViews>
    <sheetView workbookViewId="0">
      <selection sqref="A1:E1"/>
    </sheetView>
  </sheetViews>
  <sheetFormatPr defaultRowHeight="14.5" x14ac:dyDescent="0.35"/>
  <cols>
    <col min="1" max="1" width="9.90625" customWidth="1"/>
    <col min="5" max="5" width="67.1796875" customWidth="1"/>
  </cols>
  <sheetData>
    <row r="1" spans="1:5" x14ac:dyDescent="0.35">
      <c r="A1" s="1" t="s">
        <v>0</v>
      </c>
      <c r="B1" s="1" t="s">
        <v>1</v>
      </c>
      <c r="C1" s="1" t="s">
        <v>21</v>
      </c>
      <c r="D1" s="1" t="s">
        <v>2</v>
      </c>
      <c r="E1" s="1" t="s">
        <v>3</v>
      </c>
    </row>
    <row r="2" spans="1:5" x14ac:dyDescent="0.35">
      <c r="A2">
        <v>0</v>
      </c>
      <c r="B2">
        <v>0</v>
      </c>
      <c r="C2" cm="1">
        <f t="array" ref="C2:C18">SQRT((A2:A18)^2 +(B2:B18)^2)</f>
        <v>0</v>
      </c>
      <c r="D2">
        <v>0.09</v>
      </c>
      <c r="E2" t="s">
        <v>4</v>
      </c>
    </row>
    <row r="3" spans="1:5" x14ac:dyDescent="0.35">
      <c r="A3">
        <v>40</v>
      </c>
      <c r="B3">
        <v>0</v>
      </c>
      <c r="C3">
        <v>40</v>
      </c>
      <c r="D3">
        <v>0.12</v>
      </c>
      <c r="E3" t="s">
        <v>5</v>
      </c>
    </row>
    <row r="4" spans="1:5" x14ac:dyDescent="0.35">
      <c r="A4">
        <v>80</v>
      </c>
      <c r="B4">
        <v>0</v>
      </c>
      <c r="C4">
        <v>80</v>
      </c>
      <c r="D4">
        <v>0.44800000000000001</v>
      </c>
      <c r="E4" t="s">
        <v>6</v>
      </c>
    </row>
    <row r="5" spans="1:5" x14ac:dyDescent="0.35">
      <c r="A5">
        <v>120</v>
      </c>
      <c r="B5">
        <v>0</v>
      </c>
      <c r="C5">
        <v>120</v>
      </c>
      <c r="D5">
        <v>0.80500000000000005</v>
      </c>
      <c r="E5" t="s">
        <v>7</v>
      </c>
    </row>
    <row r="6" spans="1:5" x14ac:dyDescent="0.35">
      <c r="A6">
        <v>160</v>
      </c>
      <c r="B6">
        <v>0</v>
      </c>
      <c r="C6">
        <v>160</v>
      </c>
      <c r="D6">
        <v>1.27</v>
      </c>
      <c r="E6" t="s">
        <v>8</v>
      </c>
    </row>
    <row r="7" spans="1:5" x14ac:dyDescent="0.35">
      <c r="A7">
        <v>200</v>
      </c>
      <c r="B7">
        <v>0</v>
      </c>
      <c r="C7">
        <v>200</v>
      </c>
      <c r="D7">
        <v>1.82</v>
      </c>
      <c r="E7" t="s">
        <v>9</v>
      </c>
    </row>
    <row r="8" spans="1:5" x14ac:dyDescent="0.35">
      <c r="A8">
        <v>240</v>
      </c>
      <c r="B8">
        <v>0</v>
      </c>
      <c r="C8">
        <v>240</v>
      </c>
      <c r="D8">
        <v>2.11</v>
      </c>
      <c r="E8" t="s">
        <v>10</v>
      </c>
    </row>
    <row r="9" spans="1:5" x14ac:dyDescent="0.35">
      <c r="A9">
        <v>240</v>
      </c>
      <c r="B9">
        <v>20</v>
      </c>
      <c r="C9">
        <v>240.8318915758459</v>
      </c>
      <c r="D9">
        <v>2.09</v>
      </c>
      <c r="E9" t="s">
        <v>11</v>
      </c>
    </row>
    <row r="10" spans="1:5" x14ac:dyDescent="0.35">
      <c r="A10">
        <v>240</v>
      </c>
      <c r="B10">
        <v>40</v>
      </c>
      <c r="C10">
        <v>243.31050121192879</v>
      </c>
      <c r="D10">
        <v>2.13</v>
      </c>
      <c r="E10" t="s">
        <v>12</v>
      </c>
    </row>
    <row r="11" spans="1:5" x14ac:dyDescent="0.35">
      <c r="A11">
        <v>240</v>
      </c>
      <c r="B11">
        <v>60</v>
      </c>
      <c r="C11">
        <v>247.38633753705963</v>
      </c>
      <c r="D11">
        <v>2.2000000000000002</v>
      </c>
      <c r="E11" t="s">
        <v>13</v>
      </c>
    </row>
    <row r="12" spans="1:5" x14ac:dyDescent="0.35">
      <c r="A12">
        <v>240</v>
      </c>
      <c r="B12">
        <v>80</v>
      </c>
      <c r="C12">
        <v>252.98221281347034</v>
      </c>
      <c r="D12">
        <v>2.27</v>
      </c>
      <c r="E12" t="s">
        <v>14</v>
      </c>
    </row>
    <row r="13" spans="1:5" x14ac:dyDescent="0.35">
      <c r="A13">
        <v>240</v>
      </c>
      <c r="B13">
        <v>100</v>
      </c>
      <c r="C13">
        <v>260</v>
      </c>
      <c r="D13">
        <v>2.37</v>
      </c>
      <c r="E13" t="s">
        <v>15</v>
      </c>
    </row>
    <row r="14" spans="1:5" x14ac:dyDescent="0.35">
      <c r="A14">
        <v>240</v>
      </c>
      <c r="B14">
        <v>120</v>
      </c>
      <c r="C14">
        <v>268.32815729997475</v>
      </c>
      <c r="D14">
        <v>2.46</v>
      </c>
      <c r="E14" t="s">
        <v>16</v>
      </c>
    </row>
    <row r="15" spans="1:5" x14ac:dyDescent="0.35">
      <c r="A15">
        <v>240</v>
      </c>
      <c r="B15">
        <v>140</v>
      </c>
      <c r="C15">
        <v>277.8488797889961</v>
      </c>
      <c r="D15">
        <v>2.5099999999999998</v>
      </c>
      <c r="E15" t="s">
        <v>17</v>
      </c>
    </row>
    <row r="16" spans="1:5" x14ac:dyDescent="0.35">
      <c r="A16">
        <v>240</v>
      </c>
      <c r="B16">
        <v>160</v>
      </c>
      <c r="C16">
        <v>288.44410203711914</v>
      </c>
      <c r="D16">
        <v>2.57</v>
      </c>
      <c r="E16" t="s">
        <v>18</v>
      </c>
    </row>
    <row r="17" spans="1:5" x14ac:dyDescent="0.35">
      <c r="A17">
        <v>240</v>
      </c>
      <c r="B17">
        <v>180</v>
      </c>
      <c r="C17">
        <v>300</v>
      </c>
      <c r="D17">
        <v>2.62</v>
      </c>
      <c r="E17" t="s">
        <v>19</v>
      </c>
    </row>
    <row r="18" spans="1:5" x14ac:dyDescent="0.35">
      <c r="A18">
        <v>240</v>
      </c>
      <c r="B18">
        <v>200</v>
      </c>
      <c r="C18">
        <v>312.40998703626616</v>
      </c>
      <c r="D18">
        <v>2.66</v>
      </c>
      <c r="E18" t="s">
        <v>20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20062-F46D-4754-B327-679108CA70A4}">
  <dimension ref="A1:Q126"/>
  <sheetViews>
    <sheetView zoomScaleNormal="100" workbookViewId="0">
      <selection activeCell="E77" sqref="E77"/>
    </sheetView>
  </sheetViews>
  <sheetFormatPr defaultRowHeight="14.5" x14ac:dyDescent="0.35"/>
  <cols>
    <col min="3" max="3" width="15.36328125" customWidth="1"/>
    <col min="4" max="4" width="20.90625" customWidth="1"/>
    <col min="6" max="6" width="12.1796875" customWidth="1"/>
    <col min="7" max="7" width="11.7265625" customWidth="1"/>
    <col min="8" max="8" width="51.7265625" customWidth="1"/>
  </cols>
  <sheetData>
    <row r="1" spans="1:17" x14ac:dyDescent="0.35">
      <c r="A1" s="1" t="s">
        <v>0</v>
      </c>
      <c r="B1" s="1" t="s">
        <v>1</v>
      </c>
      <c r="C1" s="1" t="s">
        <v>42</v>
      </c>
      <c r="D1" s="1" t="s">
        <v>41</v>
      </c>
      <c r="E1" s="1" t="s">
        <v>2</v>
      </c>
      <c r="F1" s="1" t="s">
        <v>24</v>
      </c>
      <c r="G1" s="1" t="s">
        <v>25</v>
      </c>
      <c r="H1" s="1" t="s">
        <v>3</v>
      </c>
      <c r="P1" s="1" t="s">
        <v>43</v>
      </c>
      <c r="Q1" s="1" t="s">
        <v>44</v>
      </c>
    </row>
    <row r="2" spans="1:17" x14ac:dyDescent="0.35">
      <c r="A2" s="3" t="s">
        <v>28</v>
      </c>
      <c r="B2" s="2"/>
      <c r="C2" s="2"/>
      <c r="D2" s="2"/>
      <c r="E2" s="2"/>
      <c r="F2" s="2"/>
      <c r="G2" s="2"/>
      <c r="H2" s="2"/>
      <c r="I2" s="1" t="s">
        <v>26</v>
      </c>
      <c r="J2" s="1" t="s">
        <v>27</v>
      </c>
      <c r="K2" s="1" t="s">
        <v>22</v>
      </c>
      <c r="L2" s="1" t="s">
        <v>23</v>
      </c>
      <c r="P2">
        <v>3.5</v>
      </c>
      <c r="Q2">
        <f>635/1000</f>
        <v>0.63500000000000001</v>
      </c>
    </row>
    <row r="3" spans="1:17" x14ac:dyDescent="0.35">
      <c r="A3">
        <v>0</v>
      </c>
      <c r="B3">
        <v>0</v>
      </c>
      <c r="C3" cm="1">
        <f t="array" ref="C3:C26">SQRT((A3:A26)^2 +(B3:B26)^2)</f>
        <v>0</v>
      </c>
      <c r="D3" cm="1">
        <f t="array" ref="D3:D26">_xlfn.ANCHORARRAY(C3)/(P2 * Q2)</f>
        <v>0</v>
      </c>
      <c r="E3">
        <v>1.7000000000000001E-2</v>
      </c>
      <c r="F3">
        <v>1.2999999999999999E-2</v>
      </c>
      <c r="G3">
        <v>2.4E-2</v>
      </c>
      <c r="I3">
        <v>12.5</v>
      </c>
      <c r="J3">
        <v>0.5</v>
      </c>
      <c r="K3">
        <v>4.5</v>
      </c>
      <c r="L3">
        <v>0</v>
      </c>
    </row>
    <row r="4" spans="1:17" x14ac:dyDescent="0.35">
      <c r="A4">
        <v>0.5</v>
      </c>
      <c r="B4">
        <v>0</v>
      </c>
      <c r="C4">
        <v>0.5</v>
      </c>
      <c r="D4">
        <v>0.22497187851518557</v>
      </c>
      <c r="E4">
        <v>0.22700000000000001</v>
      </c>
      <c r="F4">
        <v>0.223</v>
      </c>
      <c r="G4">
        <v>0.23499999999999999</v>
      </c>
    </row>
    <row r="5" spans="1:17" x14ac:dyDescent="0.35">
      <c r="A5">
        <v>1</v>
      </c>
      <c r="B5">
        <v>0</v>
      </c>
      <c r="C5">
        <v>1</v>
      </c>
      <c r="D5">
        <v>0.44994375703037115</v>
      </c>
      <c r="E5">
        <v>0.41799999999999998</v>
      </c>
      <c r="F5">
        <v>0.41099999999999998</v>
      </c>
      <c r="G5">
        <v>0.42</v>
      </c>
    </row>
    <row r="6" spans="1:17" x14ac:dyDescent="0.35">
      <c r="A6">
        <v>1.5</v>
      </c>
      <c r="B6">
        <v>0</v>
      </c>
      <c r="C6">
        <v>1.5</v>
      </c>
      <c r="D6">
        <v>0.67491563554555678</v>
      </c>
      <c r="E6">
        <v>0.60499999999999998</v>
      </c>
      <c r="F6">
        <v>0.59699999999999998</v>
      </c>
      <c r="G6">
        <v>0.61199999999999999</v>
      </c>
    </row>
    <row r="7" spans="1:17" x14ac:dyDescent="0.35">
      <c r="A7">
        <v>2</v>
      </c>
      <c r="B7">
        <v>0</v>
      </c>
      <c r="C7">
        <v>2</v>
      </c>
      <c r="D7">
        <v>0.8998875140607423</v>
      </c>
      <c r="E7">
        <v>0.66200000000000003</v>
      </c>
      <c r="F7">
        <v>0.66</v>
      </c>
      <c r="G7" t="s">
        <v>45</v>
      </c>
    </row>
    <row r="8" spans="1:17" x14ac:dyDescent="0.35">
      <c r="A8">
        <v>2.5</v>
      </c>
      <c r="B8">
        <v>0</v>
      </c>
      <c r="C8">
        <v>2.5</v>
      </c>
      <c r="D8">
        <v>1.124859392575928</v>
      </c>
      <c r="E8">
        <v>0.64400000000000002</v>
      </c>
      <c r="F8">
        <v>0.64800000000000002</v>
      </c>
      <c r="G8">
        <v>0.63900000000000001</v>
      </c>
    </row>
    <row r="9" spans="1:17" x14ac:dyDescent="0.35">
      <c r="A9">
        <v>3</v>
      </c>
      <c r="B9">
        <v>0</v>
      </c>
      <c r="C9">
        <v>3</v>
      </c>
      <c r="D9">
        <v>1.3498312710911136</v>
      </c>
      <c r="E9">
        <v>0.56499999999999995</v>
      </c>
      <c r="F9">
        <v>0.55700000000000005</v>
      </c>
      <c r="G9">
        <v>0.57499999999999996</v>
      </c>
    </row>
    <row r="10" spans="1:17" x14ac:dyDescent="0.35">
      <c r="A10">
        <v>3.5</v>
      </c>
      <c r="B10">
        <v>0</v>
      </c>
      <c r="C10">
        <v>3.5</v>
      </c>
      <c r="D10">
        <v>1.5748031496062991</v>
      </c>
      <c r="E10">
        <v>0.45200000000000001</v>
      </c>
      <c r="F10">
        <v>0.44600000000000001</v>
      </c>
      <c r="G10">
        <v>0.45700000000000002</v>
      </c>
    </row>
    <row r="11" spans="1:17" x14ac:dyDescent="0.35">
      <c r="A11">
        <v>4</v>
      </c>
      <c r="B11">
        <v>0</v>
      </c>
      <c r="C11">
        <v>4</v>
      </c>
      <c r="D11">
        <v>1.7997750281214846</v>
      </c>
      <c r="E11">
        <v>0.30399999999999999</v>
      </c>
      <c r="F11">
        <v>0.3</v>
      </c>
      <c r="G11">
        <v>0.308</v>
      </c>
    </row>
    <row r="12" spans="1:17" x14ac:dyDescent="0.35">
      <c r="A12">
        <v>4.5</v>
      </c>
      <c r="B12">
        <v>0</v>
      </c>
      <c r="C12">
        <v>4.5</v>
      </c>
      <c r="D12">
        <v>2.0247469066366701</v>
      </c>
      <c r="E12">
        <v>0.17599999999999999</v>
      </c>
      <c r="F12">
        <v>0.17199999999999999</v>
      </c>
      <c r="G12">
        <v>0.17899999999999999</v>
      </c>
    </row>
    <row r="13" spans="1:17" x14ac:dyDescent="0.35">
      <c r="A13">
        <v>5</v>
      </c>
      <c r="B13">
        <v>0</v>
      </c>
      <c r="C13">
        <v>5</v>
      </c>
      <c r="D13">
        <v>2.2497187851518561</v>
      </c>
      <c r="E13">
        <v>0.104</v>
      </c>
      <c r="F13">
        <v>0.1</v>
      </c>
      <c r="G13">
        <v>0.107</v>
      </c>
    </row>
    <row r="14" spans="1:17" x14ac:dyDescent="0.35">
      <c r="A14">
        <v>5.5</v>
      </c>
      <c r="B14">
        <v>0</v>
      </c>
      <c r="C14">
        <v>5.5</v>
      </c>
      <c r="D14">
        <v>2.4746906636670416</v>
      </c>
      <c r="E14">
        <v>6.4000000000000001E-2</v>
      </c>
      <c r="F14">
        <v>6.2E-2</v>
      </c>
      <c r="G14">
        <v>6.5000000000000002E-2</v>
      </c>
    </row>
    <row r="15" spans="1:17" x14ac:dyDescent="0.35">
      <c r="A15">
        <v>6</v>
      </c>
      <c r="B15">
        <v>0</v>
      </c>
      <c r="C15">
        <v>6</v>
      </c>
      <c r="D15">
        <v>2.6996625421822271</v>
      </c>
      <c r="E15">
        <v>3.5000000000000003E-2</v>
      </c>
      <c r="F15">
        <v>3.4000000000000002E-2</v>
      </c>
      <c r="G15">
        <v>3.5999999999999997E-2</v>
      </c>
    </row>
    <row r="16" spans="1:17" x14ac:dyDescent="0.35">
      <c r="A16">
        <v>6.5</v>
      </c>
      <c r="B16">
        <v>0</v>
      </c>
      <c r="C16">
        <v>6.5</v>
      </c>
      <c r="D16">
        <v>2.9246344206974126</v>
      </c>
      <c r="E16">
        <v>2.5999999999999999E-2</v>
      </c>
    </row>
    <row r="17" spans="1:12" x14ac:dyDescent="0.35">
      <c r="A17">
        <v>7</v>
      </c>
      <c r="B17">
        <v>0</v>
      </c>
      <c r="C17">
        <v>7</v>
      </c>
      <c r="D17">
        <v>3.1496062992125982</v>
      </c>
      <c r="E17">
        <v>2.1000000000000001E-2</v>
      </c>
    </row>
    <row r="18" spans="1:12" x14ac:dyDescent="0.35">
      <c r="A18">
        <v>7.5</v>
      </c>
      <c r="B18">
        <v>0</v>
      </c>
      <c r="C18">
        <v>7.5</v>
      </c>
      <c r="D18">
        <v>3.3745781777277837</v>
      </c>
      <c r="E18">
        <v>1.7000000000000001E-2</v>
      </c>
    </row>
    <row r="19" spans="1:12" x14ac:dyDescent="0.35">
      <c r="A19">
        <v>8</v>
      </c>
      <c r="B19">
        <v>0</v>
      </c>
      <c r="C19">
        <v>8</v>
      </c>
      <c r="D19">
        <v>3.5995500562429692</v>
      </c>
      <c r="E19">
        <v>1.2E-2</v>
      </c>
    </row>
    <row r="20" spans="1:12" x14ac:dyDescent="0.35">
      <c r="A20">
        <v>8.5</v>
      </c>
      <c r="B20">
        <v>0</v>
      </c>
      <c r="C20">
        <v>8.5</v>
      </c>
      <c r="D20">
        <v>3.8245219347581552</v>
      </c>
      <c r="E20">
        <v>1.0999999999999999E-2</v>
      </c>
    </row>
    <row r="21" spans="1:12" x14ac:dyDescent="0.35">
      <c r="A21">
        <v>9</v>
      </c>
      <c r="B21">
        <v>0</v>
      </c>
      <c r="C21">
        <v>9</v>
      </c>
      <c r="D21">
        <v>4.0494938132733402</v>
      </c>
      <c r="E21">
        <v>8.9999999999999993E-3</v>
      </c>
    </row>
    <row r="22" spans="1:12" x14ac:dyDescent="0.35">
      <c r="A22">
        <v>9.5</v>
      </c>
      <c r="B22">
        <v>0</v>
      </c>
      <c r="C22">
        <v>9.5</v>
      </c>
      <c r="D22">
        <v>4.2744656917885262</v>
      </c>
      <c r="E22">
        <v>6.0000000000000001E-3</v>
      </c>
    </row>
    <row r="23" spans="1:12" x14ac:dyDescent="0.35">
      <c r="A23">
        <v>10</v>
      </c>
      <c r="B23">
        <v>0</v>
      </c>
      <c r="C23">
        <v>10</v>
      </c>
      <c r="D23">
        <v>4.4994375703037122</v>
      </c>
      <c r="E23">
        <v>3.0000000000000001E-3</v>
      </c>
    </row>
    <row r="24" spans="1:12" x14ac:dyDescent="0.35">
      <c r="A24">
        <v>10.5</v>
      </c>
      <c r="B24">
        <v>0</v>
      </c>
      <c r="C24">
        <v>10.5</v>
      </c>
      <c r="D24">
        <v>4.7244094488188972</v>
      </c>
      <c r="E24">
        <v>1E-3</v>
      </c>
    </row>
    <row r="25" spans="1:12" x14ac:dyDescent="0.35">
      <c r="A25">
        <v>11</v>
      </c>
      <c r="B25">
        <v>0</v>
      </c>
      <c r="C25">
        <v>11</v>
      </c>
      <c r="D25">
        <v>4.9493813273340832</v>
      </c>
      <c r="E25">
        <v>2E-3</v>
      </c>
    </row>
    <row r="26" spans="1:12" x14ac:dyDescent="0.35">
      <c r="A26">
        <v>11.5</v>
      </c>
      <c r="B26">
        <v>0</v>
      </c>
      <c r="C26">
        <v>11.5</v>
      </c>
      <c r="D26">
        <v>5.1743532058492683</v>
      </c>
      <c r="E26">
        <v>5.0000000000000001E-3</v>
      </c>
    </row>
    <row r="27" spans="1:12" x14ac:dyDescent="0.35">
      <c r="A27" s="3" t="s">
        <v>34</v>
      </c>
      <c r="B27" s="2"/>
      <c r="C27" s="2"/>
      <c r="D27" s="2"/>
      <c r="E27" s="2"/>
      <c r="F27" s="2"/>
      <c r="G27" s="2"/>
      <c r="H27" s="2"/>
      <c r="I27" s="1" t="s">
        <v>26</v>
      </c>
      <c r="J27" s="1" t="s">
        <v>27</v>
      </c>
      <c r="K27" s="1" t="s">
        <v>22</v>
      </c>
      <c r="L27" s="1" t="s">
        <v>23</v>
      </c>
    </row>
    <row r="28" spans="1:12" x14ac:dyDescent="0.35">
      <c r="A28">
        <v>0</v>
      </c>
      <c r="B28">
        <v>0</v>
      </c>
      <c r="C28" cm="1">
        <f t="array" ref="C28:C51">SQRT((A28:A51)^2 +(B28:B51)^2)</f>
        <v>0</v>
      </c>
      <c r="D28" cm="1">
        <f t="array" ref="D28:D51">_xlfn.ANCHORARRAY(C28)/(P2*Q2)</f>
        <v>0</v>
      </c>
      <c r="E28">
        <v>1.2999999999999999E-2</v>
      </c>
      <c r="F28">
        <v>1.2E-2</v>
      </c>
      <c r="G28">
        <v>1.4999999999999999E-2</v>
      </c>
      <c r="I28">
        <v>12.5</v>
      </c>
      <c r="J28">
        <v>0.5</v>
      </c>
      <c r="K28">
        <v>4.5</v>
      </c>
      <c r="L28">
        <v>0</v>
      </c>
    </row>
    <row r="29" spans="1:12" x14ac:dyDescent="0.35">
      <c r="A29">
        <v>0.5</v>
      </c>
      <c r="B29">
        <v>0</v>
      </c>
      <c r="C29">
        <v>0.5</v>
      </c>
      <c r="D29">
        <v>0.22497187851518557</v>
      </c>
      <c r="E29">
        <v>0.28899999999999998</v>
      </c>
      <c r="F29">
        <v>0.28299999999999997</v>
      </c>
      <c r="G29">
        <v>0.30199999999999999</v>
      </c>
    </row>
    <row r="30" spans="1:12" x14ac:dyDescent="0.35">
      <c r="A30">
        <v>1</v>
      </c>
      <c r="B30">
        <v>0</v>
      </c>
      <c r="C30">
        <v>1</v>
      </c>
      <c r="D30">
        <v>0.44994375703037115</v>
      </c>
      <c r="E30">
        <v>0.51</v>
      </c>
      <c r="F30">
        <v>0.505</v>
      </c>
      <c r="G30">
        <v>0.51800000000000002</v>
      </c>
    </row>
    <row r="31" spans="1:12" x14ac:dyDescent="0.35">
      <c r="A31">
        <v>1.5</v>
      </c>
      <c r="B31">
        <v>0</v>
      </c>
      <c r="C31">
        <v>1.5</v>
      </c>
      <c r="D31">
        <v>0.67491563554555678</v>
      </c>
      <c r="E31">
        <v>0.68500000000000005</v>
      </c>
      <c r="F31">
        <v>0.68100000000000005</v>
      </c>
      <c r="G31">
        <v>0.69</v>
      </c>
    </row>
    <row r="32" spans="1:12" x14ac:dyDescent="0.35">
      <c r="A32">
        <v>2</v>
      </c>
      <c r="B32">
        <v>0</v>
      </c>
      <c r="C32">
        <v>2</v>
      </c>
      <c r="D32">
        <v>0.8998875140607423</v>
      </c>
      <c r="E32">
        <v>0.75600000000000001</v>
      </c>
      <c r="F32">
        <v>0.754</v>
      </c>
      <c r="G32">
        <v>0.76</v>
      </c>
    </row>
    <row r="33" spans="1:7" x14ac:dyDescent="0.35">
      <c r="A33">
        <v>2.5</v>
      </c>
      <c r="B33">
        <v>0</v>
      </c>
      <c r="C33">
        <v>2.5</v>
      </c>
      <c r="D33">
        <v>1.124859392575928</v>
      </c>
      <c r="E33">
        <v>0.72699999999999998</v>
      </c>
      <c r="F33">
        <v>0.72</v>
      </c>
      <c r="G33">
        <v>0.3</v>
      </c>
    </row>
    <row r="34" spans="1:7" x14ac:dyDescent="0.35">
      <c r="A34">
        <v>3</v>
      </c>
      <c r="B34">
        <v>0</v>
      </c>
      <c r="C34">
        <v>3</v>
      </c>
      <c r="D34">
        <v>1.3498312710911136</v>
      </c>
      <c r="E34">
        <v>0.61199999999999999</v>
      </c>
      <c r="F34">
        <v>0.60399999999999998</v>
      </c>
      <c r="G34">
        <v>0.61699999999999999</v>
      </c>
    </row>
    <row r="35" spans="1:7" x14ac:dyDescent="0.35">
      <c r="A35">
        <v>3.5</v>
      </c>
      <c r="B35">
        <v>0</v>
      </c>
      <c r="C35">
        <v>3.5</v>
      </c>
      <c r="D35">
        <v>1.5748031496062991</v>
      </c>
      <c r="E35">
        <v>0.47</v>
      </c>
      <c r="F35">
        <v>0.46600000000000003</v>
      </c>
      <c r="G35">
        <v>0.48199999999999998</v>
      </c>
    </row>
    <row r="36" spans="1:7" x14ac:dyDescent="0.35">
      <c r="A36">
        <v>4</v>
      </c>
      <c r="B36">
        <v>0</v>
      </c>
      <c r="C36">
        <v>4</v>
      </c>
      <c r="D36">
        <v>1.7997750281214846</v>
      </c>
      <c r="E36">
        <v>0.26400000000000001</v>
      </c>
      <c r="F36">
        <v>0.25900000000000001</v>
      </c>
      <c r="G36">
        <v>0.27200000000000002</v>
      </c>
    </row>
    <row r="37" spans="1:7" x14ac:dyDescent="0.35">
      <c r="A37">
        <v>4.5</v>
      </c>
      <c r="B37">
        <v>0</v>
      </c>
      <c r="C37">
        <v>4.5</v>
      </c>
      <c r="D37">
        <v>2.0247469066366701</v>
      </c>
      <c r="E37">
        <v>0.157</v>
      </c>
      <c r="F37">
        <v>0.151</v>
      </c>
      <c r="G37">
        <v>0.16300000000000001</v>
      </c>
    </row>
    <row r="38" spans="1:7" x14ac:dyDescent="0.35">
      <c r="A38">
        <v>5</v>
      </c>
      <c r="B38">
        <v>0</v>
      </c>
      <c r="C38">
        <v>5</v>
      </c>
      <c r="D38">
        <v>2.2497187851518561</v>
      </c>
      <c r="E38">
        <v>9.1999999999999998E-2</v>
      </c>
      <c r="F38">
        <v>9.0999999999999998E-2</v>
      </c>
      <c r="G38">
        <v>9.5000000000000001E-2</v>
      </c>
    </row>
    <row r="39" spans="1:7" x14ac:dyDescent="0.35">
      <c r="A39">
        <v>5.5</v>
      </c>
      <c r="B39">
        <v>0</v>
      </c>
      <c r="C39">
        <v>5.5</v>
      </c>
      <c r="D39">
        <v>2.4746906636670416</v>
      </c>
      <c r="E39">
        <v>5.5E-2</v>
      </c>
      <c r="F39">
        <v>5.3999999999999999E-2</v>
      </c>
      <c r="G39">
        <v>0.56000000000000005</v>
      </c>
    </row>
    <row r="40" spans="1:7" x14ac:dyDescent="0.35">
      <c r="A40">
        <v>6</v>
      </c>
      <c r="B40">
        <v>0</v>
      </c>
      <c r="C40">
        <v>6</v>
      </c>
      <c r="D40">
        <v>2.6996625421822271</v>
      </c>
      <c r="E40">
        <v>7.1999999999999995E-2</v>
      </c>
      <c r="F40">
        <v>7.0000000000000007E-2</v>
      </c>
      <c r="G40">
        <v>7.4999999999999997E-2</v>
      </c>
    </row>
    <row r="41" spans="1:7" x14ac:dyDescent="0.35">
      <c r="A41">
        <v>6.5</v>
      </c>
      <c r="B41">
        <v>0</v>
      </c>
      <c r="C41">
        <v>6.5</v>
      </c>
      <c r="D41">
        <v>2.9246344206974126</v>
      </c>
      <c r="E41">
        <v>2.1000000000000001E-2</v>
      </c>
    </row>
    <row r="42" spans="1:7" x14ac:dyDescent="0.35">
      <c r="A42">
        <v>7</v>
      </c>
      <c r="B42">
        <v>0</v>
      </c>
      <c r="C42">
        <v>7</v>
      </c>
      <c r="D42">
        <v>3.1496062992125982</v>
      </c>
      <c r="E42">
        <v>1.9E-2</v>
      </c>
    </row>
    <row r="43" spans="1:7" x14ac:dyDescent="0.35">
      <c r="A43">
        <v>7.5</v>
      </c>
      <c r="B43">
        <v>0</v>
      </c>
      <c r="C43">
        <v>7.5</v>
      </c>
      <c r="D43">
        <v>3.3745781777277837</v>
      </c>
      <c r="E43">
        <v>1.4999999999999999E-2</v>
      </c>
    </row>
    <row r="44" spans="1:7" x14ac:dyDescent="0.35">
      <c r="A44">
        <v>8</v>
      </c>
      <c r="B44">
        <v>0</v>
      </c>
      <c r="C44">
        <v>8</v>
      </c>
      <c r="D44">
        <v>3.5995500562429692</v>
      </c>
      <c r="E44">
        <v>1.2999999999999999E-2</v>
      </c>
    </row>
    <row r="45" spans="1:7" x14ac:dyDescent="0.35">
      <c r="A45">
        <v>8.5</v>
      </c>
      <c r="B45">
        <v>0</v>
      </c>
      <c r="C45">
        <v>8.5</v>
      </c>
      <c r="D45">
        <v>3.8245219347581552</v>
      </c>
      <c r="E45">
        <v>0.01</v>
      </c>
    </row>
    <row r="46" spans="1:7" x14ac:dyDescent="0.35">
      <c r="A46">
        <v>9</v>
      </c>
      <c r="B46">
        <v>0</v>
      </c>
      <c r="C46">
        <v>9</v>
      </c>
      <c r="D46">
        <v>4.0494938132733402</v>
      </c>
      <c r="E46">
        <v>7.0000000000000001E-3</v>
      </c>
    </row>
    <row r="47" spans="1:7" x14ac:dyDescent="0.35">
      <c r="A47">
        <v>9.5</v>
      </c>
      <c r="B47">
        <v>0</v>
      </c>
      <c r="C47">
        <v>9.5</v>
      </c>
      <c r="D47">
        <v>4.2744656917885262</v>
      </c>
      <c r="E47">
        <v>4.0000000000000001E-3</v>
      </c>
    </row>
    <row r="48" spans="1:7" x14ac:dyDescent="0.35">
      <c r="A48">
        <v>10</v>
      </c>
      <c r="B48">
        <v>0</v>
      </c>
      <c r="C48">
        <v>10</v>
      </c>
      <c r="D48">
        <v>4.4994375703037122</v>
      </c>
      <c r="E48">
        <v>2E-3</v>
      </c>
    </row>
    <row r="49" spans="1:12" x14ac:dyDescent="0.35">
      <c r="A49">
        <v>10.5</v>
      </c>
      <c r="B49">
        <v>0</v>
      </c>
      <c r="C49">
        <v>10.5</v>
      </c>
      <c r="D49">
        <v>4.7244094488188972</v>
      </c>
      <c r="E49">
        <v>1E-3</v>
      </c>
    </row>
    <row r="50" spans="1:12" x14ac:dyDescent="0.35">
      <c r="A50">
        <v>11</v>
      </c>
      <c r="B50">
        <v>0</v>
      </c>
      <c r="C50">
        <v>11</v>
      </c>
      <c r="D50">
        <v>4.9493813273340832</v>
      </c>
      <c r="E50">
        <v>3.0000000000000001E-3</v>
      </c>
    </row>
    <row r="51" spans="1:12" x14ac:dyDescent="0.35">
      <c r="A51">
        <v>11.5</v>
      </c>
      <c r="B51">
        <v>0</v>
      </c>
      <c r="C51">
        <v>11.5</v>
      </c>
      <c r="D51">
        <v>5.1743532058492683</v>
      </c>
      <c r="E51">
        <v>6.0000000000000001E-3</v>
      </c>
    </row>
    <row r="52" spans="1:12" x14ac:dyDescent="0.35">
      <c r="A52" s="3" t="s">
        <v>37</v>
      </c>
      <c r="B52" s="2"/>
      <c r="C52" s="2"/>
      <c r="D52" s="2"/>
      <c r="E52" s="2"/>
      <c r="F52" s="2"/>
      <c r="G52" s="2"/>
      <c r="H52" s="2"/>
      <c r="I52" s="1" t="s">
        <v>26</v>
      </c>
      <c r="J52" s="1" t="s">
        <v>27</v>
      </c>
      <c r="K52" s="1" t="s">
        <v>22</v>
      </c>
      <c r="L52" s="1" t="s">
        <v>23</v>
      </c>
    </row>
    <row r="53" spans="1:12" x14ac:dyDescent="0.35">
      <c r="A53">
        <v>0</v>
      </c>
      <c r="B53">
        <v>0</v>
      </c>
      <c r="C53" cm="1">
        <f t="array" ref="C53:C76">SQRT((A53:A76)^2 +(B53:B76)^2)</f>
        <v>0</v>
      </c>
      <c r="D53" cm="1">
        <f t="array" ref="D53:D76">_xlfn.ANCHORARRAY(C53)/(P2 * Q2)</f>
        <v>0</v>
      </c>
      <c r="E53">
        <v>1.7000000000000001E-2</v>
      </c>
      <c r="F53">
        <v>1.6E-2</v>
      </c>
      <c r="G53">
        <v>1.7999999999999999E-2</v>
      </c>
      <c r="I53">
        <v>12.5</v>
      </c>
      <c r="J53">
        <v>0.5</v>
      </c>
      <c r="K53">
        <v>4.5</v>
      </c>
      <c r="L53">
        <v>0</v>
      </c>
    </row>
    <row r="54" spans="1:12" x14ac:dyDescent="0.35">
      <c r="A54">
        <v>0.5</v>
      </c>
      <c r="B54">
        <v>0</v>
      </c>
      <c r="C54">
        <v>0.5</v>
      </c>
      <c r="D54">
        <v>0.22497187851518557</v>
      </c>
      <c r="E54">
        <v>0.26400000000000001</v>
      </c>
      <c r="F54">
        <v>0.26</v>
      </c>
      <c r="G54">
        <v>0.27300000000000002</v>
      </c>
    </row>
    <row r="55" spans="1:12" x14ac:dyDescent="0.35">
      <c r="A55">
        <v>1</v>
      </c>
      <c r="B55">
        <v>0</v>
      </c>
      <c r="C55">
        <v>1</v>
      </c>
      <c r="D55">
        <v>0.44994375703037115</v>
      </c>
      <c r="E55">
        <v>0.44400000000000001</v>
      </c>
      <c r="F55">
        <v>0.435</v>
      </c>
      <c r="G55">
        <v>0.45400000000000001</v>
      </c>
    </row>
    <row r="56" spans="1:12" x14ac:dyDescent="0.35">
      <c r="A56">
        <v>1.5</v>
      </c>
      <c r="B56">
        <v>0</v>
      </c>
      <c r="C56">
        <v>1.5</v>
      </c>
      <c r="D56">
        <v>0.67491563554555678</v>
      </c>
      <c r="E56">
        <v>0.59599999999999997</v>
      </c>
      <c r="F56">
        <v>0.58399999999999996</v>
      </c>
      <c r="G56">
        <v>0.60299999999999998</v>
      </c>
    </row>
    <row r="57" spans="1:12" x14ac:dyDescent="0.35">
      <c r="A57">
        <v>2</v>
      </c>
      <c r="B57">
        <v>0</v>
      </c>
      <c r="C57">
        <v>2</v>
      </c>
      <c r="D57">
        <v>0.8998875140607423</v>
      </c>
      <c r="E57">
        <v>0.69399999999999995</v>
      </c>
      <c r="F57">
        <v>0.69</v>
      </c>
      <c r="G57">
        <v>0.70699999999999996</v>
      </c>
    </row>
    <row r="58" spans="1:12" x14ac:dyDescent="0.35">
      <c r="A58">
        <v>2.5</v>
      </c>
      <c r="B58">
        <v>0</v>
      </c>
      <c r="C58">
        <v>2.5</v>
      </c>
      <c r="D58">
        <v>1.124859392575928</v>
      </c>
      <c r="E58">
        <v>0.67600000000000005</v>
      </c>
      <c r="F58">
        <v>0.66300000000000003</v>
      </c>
      <c r="G58">
        <v>0.68</v>
      </c>
    </row>
    <row r="59" spans="1:12" x14ac:dyDescent="0.35">
      <c r="A59">
        <v>3</v>
      </c>
      <c r="B59">
        <v>0</v>
      </c>
      <c r="C59">
        <v>3</v>
      </c>
      <c r="D59">
        <v>1.3498312710911136</v>
      </c>
      <c r="E59">
        <v>0.57499999999999996</v>
      </c>
      <c r="F59">
        <v>0.56899999999999995</v>
      </c>
      <c r="G59">
        <v>0.58399999999999996</v>
      </c>
    </row>
    <row r="60" spans="1:12" x14ac:dyDescent="0.35">
      <c r="A60">
        <v>3.5</v>
      </c>
      <c r="B60">
        <v>0</v>
      </c>
      <c r="C60">
        <v>3.5</v>
      </c>
      <c r="D60">
        <v>1.5748031496062991</v>
      </c>
      <c r="E60">
        <v>0.432</v>
      </c>
      <c r="F60">
        <v>0.42699999999999999</v>
      </c>
      <c r="G60">
        <v>0.441</v>
      </c>
    </row>
    <row r="61" spans="1:12" x14ac:dyDescent="0.35">
      <c r="A61">
        <v>4</v>
      </c>
      <c r="B61">
        <v>0</v>
      </c>
      <c r="C61">
        <v>4</v>
      </c>
      <c r="D61">
        <v>1.7997750281214846</v>
      </c>
      <c r="E61">
        <v>0.23499999999999999</v>
      </c>
      <c r="F61">
        <v>0.22900000000000001</v>
      </c>
      <c r="G61">
        <v>0.24299999999999999</v>
      </c>
    </row>
    <row r="62" spans="1:12" x14ac:dyDescent="0.35">
      <c r="A62">
        <v>4.5</v>
      </c>
      <c r="B62">
        <v>0</v>
      </c>
      <c r="C62">
        <v>4.5</v>
      </c>
      <c r="D62">
        <v>2.0247469066366701</v>
      </c>
      <c r="E62">
        <v>0.159</v>
      </c>
      <c r="F62">
        <v>0.154</v>
      </c>
      <c r="G62">
        <v>0.161</v>
      </c>
    </row>
    <row r="63" spans="1:12" x14ac:dyDescent="0.35">
      <c r="A63">
        <v>5</v>
      </c>
      <c r="B63">
        <v>0</v>
      </c>
      <c r="C63">
        <v>5</v>
      </c>
      <c r="D63">
        <v>2.2497187851518561</v>
      </c>
      <c r="E63">
        <v>9.1999999999999998E-2</v>
      </c>
      <c r="F63">
        <v>9.1999999999999998E-2</v>
      </c>
      <c r="G63">
        <v>9.4E-2</v>
      </c>
    </row>
    <row r="64" spans="1:12" x14ac:dyDescent="0.35">
      <c r="A64">
        <v>5.5</v>
      </c>
      <c r="B64">
        <v>0</v>
      </c>
      <c r="C64">
        <v>5.5</v>
      </c>
      <c r="D64">
        <v>2.4746906636670416</v>
      </c>
      <c r="E64">
        <v>5.3999999999999999E-2</v>
      </c>
    </row>
    <row r="65" spans="1:12" x14ac:dyDescent="0.35">
      <c r="A65">
        <v>6</v>
      </c>
      <c r="B65">
        <v>0</v>
      </c>
      <c r="C65">
        <v>6</v>
      </c>
      <c r="D65">
        <v>2.6996625421822271</v>
      </c>
      <c r="E65">
        <v>3.6999999999999998E-2</v>
      </c>
    </row>
    <row r="66" spans="1:12" x14ac:dyDescent="0.35">
      <c r="A66">
        <v>6.5</v>
      </c>
      <c r="B66">
        <v>0</v>
      </c>
      <c r="C66">
        <v>6.5</v>
      </c>
      <c r="D66">
        <v>2.9246344206974126</v>
      </c>
      <c r="E66">
        <v>2.5000000000000001E-2</v>
      </c>
    </row>
    <row r="67" spans="1:12" x14ac:dyDescent="0.35">
      <c r="A67">
        <v>7</v>
      </c>
      <c r="B67">
        <v>0</v>
      </c>
      <c r="C67">
        <v>7</v>
      </c>
      <c r="D67">
        <v>3.1496062992125982</v>
      </c>
      <c r="E67">
        <v>0.02</v>
      </c>
    </row>
    <row r="68" spans="1:12" x14ac:dyDescent="0.35">
      <c r="A68">
        <v>7.5</v>
      </c>
      <c r="B68">
        <v>0</v>
      </c>
      <c r="C68">
        <v>7.5</v>
      </c>
      <c r="D68">
        <v>3.3745781777277837</v>
      </c>
      <c r="E68">
        <v>1.7000000000000001E-2</v>
      </c>
    </row>
    <row r="69" spans="1:12" x14ac:dyDescent="0.35">
      <c r="A69">
        <v>8</v>
      </c>
      <c r="B69">
        <v>0</v>
      </c>
      <c r="C69">
        <v>8</v>
      </c>
      <c r="D69">
        <v>3.5995500562429692</v>
      </c>
      <c r="E69">
        <v>1.4E-2</v>
      </c>
    </row>
    <row r="70" spans="1:12" x14ac:dyDescent="0.35">
      <c r="A70">
        <v>8.5</v>
      </c>
      <c r="B70">
        <v>0</v>
      </c>
      <c r="C70">
        <v>8.5</v>
      </c>
      <c r="D70">
        <v>3.8245219347581552</v>
      </c>
      <c r="E70">
        <v>1.2E-2</v>
      </c>
    </row>
    <row r="71" spans="1:12" x14ac:dyDescent="0.35">
      <c r="A71">
        <v>9</v>
      </c>
      <c r="B71">
        <v>0</v>
      </c>
      <c r="C71">
        <v>9</v>
      </c>
      <c r="D71">
        <v>4.0494938132733402</v>
      </c>
      <c r="E71">
        <v>8.9999999999999993E-3</v>
      </c>
    </row>
    <row r="72" spans="1:12" x14ac:dyDescent="0.35">
      <c r="A72">
        <v>9.5</v>
      </c>
      <c r="B72">
        <v>0</v>
      </c>
      <c r="C72">
        <v>9.5</v>
      </c>
      <c r="D72">
        <v>4.2744656917885262</v>
      </c>
      <c r="E72">
        <v>6.0000000000000001E-3</v>
      </c>
    </row>
    <row r="73" spans="1:12" x14ac:dyDescent="0.35">
      <c r="A73">
        <v>10</v>
      </c>
      <c r="B73">
        <v>0</v>
      </c>
      <c r="C73">
        <v>10</v>
      </c>
      <c r="D73">
        <v>4.4994375703037122</v>
      </c>
      <c r="E73">
        <v>2E-3</v>
      </c>
    </row>
    <row r="74" spans="1:12" x14ac:dyDescent="0.35">
      <c r="A74">
        <v>10.5</v>
      </c>
      <c r="B74">
        <v>0</v>
      </c>
      <c r="C74">
        <v>10.5</v>
      </c>
      <c r="D74">
        <v>4.7244094488188972</v>
      </c>
      <c r="E74">
        <v>1E-3</v>
      </c>
    </row>
    <row r="75" spans="1:12" x14ac:dyDescent="0.35">
      <c r="A75">
        <v>11</v>
      </c>
      <c r="B75">
        <v>0</v>
      </c>
      <c r="C75">
        <v>11</v>
      </c>
      <c r="D75">
        <v>4.9493813273340832</v>
      </c>
      <c r="E75">
        <v>3.0000000000000001E-3</v>
      </c>
    </row>
    <row r="76" spans="1:12" x14ac:dyDescent="0.35">
      <c r="A76">
        <v>11.5</v>
      </c>
      <c r="B76">
        <v>0</v>
      </c>
      <c r="C76">
        <v>11.5</v>
      </c>
      <c r="D76">
        <v>5.1743532058492683</v>
      </c>
      <c r="E76">
        <v>6.0000000000000001E-3</v>
      </c>
    </row>
    <row r="77" spans="1:12" x14ac:dyDescent="0.35">
      <c r="A77" s="3" t="s">
        <v>39</v>
      </c>
      <c r="B77" s="2"/>
      <c r="C77" s="2"/>
      <c r="D77" s="2"/>
      <c r="E77" s="2"/>
      <c r="F77" s="2"/>
      <c r="G77" s="2"/>
      <c r="H77" s="2"/>
      <c r="I77" s="1" t="s">
        <v>26</v>
      </c>
      <c r="J77" s="1" t="s">
        <v>27</v>
      </c>
      <c r="K77" s="1" t="s">
        <v>22</v>
      </c>
      <c r="L77" s="1" t="s">
        <v>23</v>
      </c>
    </row>
    <row r="78" spans="1:12" x14ac:dyDescent="0.35">
      <c r="A78">
        <v>0</v>
      </c>
      <c r="B78">
        <v>0</v>
      </c>
      <c r="C78" cm="1">
        <f t="array" ref="C78:C101">SQRT((A78:A101)^2 +(B78:B101)^2)</f>
        <v>0</v>
      </c>
      <c r="D78" cm="1">
        <f t="array" ref="D78:D101">_xlfn.ANCHORARRAY(C78)/(P2 * Q2)</f>
        <v>0</v>
      </c>
      <c r="I78">
        <v>15</v>
      </c>
      <c r="J78">
        <v>0.5</v>
      </c>
      <c r="K78">
        <v>3</v>
      </c>
      <c r="L78">
        <v>0</v>
      </c>
    </row>
    <row r="79" spans="1:12" x14ac:dyDescent="0.35">
      <c r="A79">
        <v>0.5</v>
      </c>
      <c r="B79">
        <v>0</v>
      </c>
      <c r="C79">
        <v>0.5</v>
      </c>
      <c r="D79">
        <v>0.22497187851518557</v>
      </c>
    </row>
    <row r="80" spans="1:12" x14ac:dyDescent="0.35">
      <c r="A80">
        <v>1</v>
      </c>
      <c r="B80">
        <v>0</v>
      </c>
      <c r="C80">
        <v>1</v>
      </c>
      <c r="D80">
        <v>0.44994375703037115</v>
      </c>
    </row>
    <row r="81" spans="1:4" x14ac:dyDescent="0.35">
      <c r="A81">
        <v>1.5</v>
      </c>
      <c r="B81">
        <v>0</v>
      </c>
      <c r="C81">
        <v>1.5</v>
      </c>
      <c r="D81">
        <v>0.67491563554555678</v>
      </c>
    </row>
    <row r="82" spans="1:4" x14ac:dyDescent="0.35">
      <c r="A82">
        <v>2</v>
      </c>
      <c r="B82">
        <v>0</v>
      </c>
      <c r="C82">
        <v>2</v>
      </c>
      <c r="D82">
        <v>0.8998875140607423</v>
      </c>
    </row>
    <row r="83" spans="1:4" x14ac:dyDescent="0.35">
      <c r="A83">
        <v>2.5</v>
      </c>
      <c r="B83">
        <v>0</v>
      </c>
      <c r="C83">
        <v>2.5</v>
      </c>
      <c r="D83">
        <v>1.124859392575928</v>
      </c>
    </row>
    <row r="84" spans="1:4" x14ac:dyDescent="0.35">
      <c r="A84">
        <v>3</v>
      </c>
      <c r="B84">
        <v>0</v>
      </c>
      <c r="C84">
        <v>3</v>
      </c>
      <c r="D84">
        <v>1.3498312710911136</v>
      </c>
    </row>
    <row r="85" spans="1:4" x14ac:dyDescent="0.35">
      <c r="A85">
        <v>3.5</v>
      </c>
      <c r="B85">
        <v>0</v>
      </c>
      <c r="C85">
        <v>3.5</v>
      </c>
      <c r="D85">
        <v>1.5748031496062991</v>
      </c>
    </row>
    <row r="86" spans="1:4" x14ac:dyDescent="0.35">
      <c r="A86">
        <v>4</v>
      </c>
      <c r="B86">
        <v>0</v>
      </c>
      <c r="C86">
        <v>4</v>
      </c>
      <c r="D86">
        <v>1.7997750281214846</v>
      </c>
    </row>
    <row r="87" spans="1:4" x14ac:dyDescent="0.35">
      <c r="A87">
        <v>4.5</v>
      </c>
      <c r="B87">
        <v>0</v>
      </c>
      <c r="C87">
        <v>4.5</v>
      </c>
      <c r="D87">
        <v>2.0247469066366701</v>
      </c>
    </row>
    <row r="88" spans="1:4" x14ac:dyDescent="0.35">
      <c r="A88">
        <v>5</v>
      </c>
      <c r="B88">
        <v>0</v>
      </c>
      <c r="C88">
        <v>5</v>
      </c>
      <c r="D88">
        <v>2.2497187851518561</v>
      </c>
    </row>
    <row r="89" spans="1:4" x14ac:dyDescent="0.35">
      <c r="A89">
        <v>5.5</v>
      </c>
      <c r="B89">
        <v>0</v>
      </c>
      <c r="C89">
        <v>5.5</v>
      </c>
      <c r="D89">
        <v>2.4746906636670416</v>
      </c>
    </row>
    <row r="90" spans="1:4" x14ac:dyDescent="0.35">
      <c r="A90">
        <v>6</v>
      </c>
      <c r="B90">
        <v>0</v>
      </c>
      <c r="C90">
        <v>6</v>
      </c>
      <c r="D90">
        <v>2.6996625421822271</v>
      </c>
    </row>
    <row r="91" spans="1:4" x14ac:dyDescent="0.35">
      <c r="A91">
        <v>6.5</v>
      </c>
      <c r="B91">
        <v>0</v>
      </c>
      <c r="C91">
        <v>6.5</v>
      </c>
      <c r="D91">
        <v>2.9246344206974126</v>
      </c>
    </row>
    <row r="92" spans="1:4" x14ac:dyDescent="0.35">
      <c r="A92">
        <v>7</v>
      </c>
      <c r="B92">
        <v>0</v>
      </c>
      <c r="C92">
        <v>7</v>
      </c>
      <c r="D92">
        <v>3.1496062992125982</v>
      </c>
    </row>
    <row r="93" spans="1:4" x14ac:dyDescent="0.35">
      <c r="A93">
        <v>7.5</v>
      </c>
      <c r="B93">
        <v>0</v>
      </c>
      <c r="C93">
        <v>7.5</v>
      </c>
      <c r="D93">
        <v>3.3745781777277837</v>
      </c>
    </row>
    <row r="94" spans="1:4" x14ac:dyDescent="0.35">
      <c r="A94">
        <v>8</v>
      </c>
      <c r="B94">
        <v>0</v>
      </c>
      <c r="C94">
        <v>8</v>
      </c>
      <c r="D94">
        <v>3.5995500562429692</v>
      </c>
    </row>
    <row r="95" spans="1:4" x14ac:dyDescent="0.35">
      <c r="A95">
        <v>8.5</v>
      </c>
      <c r="B95">
        <v>0</v>
      </c>
      <c r="C95">
        <v>8.5</v>
      </c>
      <c r="D95">
        <v>3.8245219347581552</v>
      </c>
    </row>
    <row r="96" spans="1:4" x14ac:dyDescent="0.35">
      <c r="A96">
        <v>9</v>
      </c>
      <c r="B96">
        <v>0</v>
      </c>
      <c r="C96">
        <v>9</v>
      </c>
      <c r="D96">
        <v>4.0494938132733402</v>
      </c>
    </row>
    <row r="97" spans="1:12" x14ac:dyDescent="0.35">
      <c r="A97">
        <v>9.5</v>
      </c>
      <c r="B97">
        <v>0</v>
      </c>
      <c r="C97">
        <v>9.5</v>
      </c>
      <c r="D97">
        <v>4.2744656917885262</v>
      </c>
    </row>
    <row r="98" spans="1:12" x14ac:dyDescent="0.35">
      <c r="A98">
        <v>10</v>
      </c>
      <c r="B98">
        <v>0</v>
      </c>
      <c r="C98">
        <v>10</v>
      </c>
      <c r="D98">
        <v>4.4994375703037122</v>
      </c>
    </row>
    <row r="99" spans="1:12" x14ac:dyDescent="0.35">
      <c r="A99">
        <v>10.5</v>
      </c>
      <c r="B99">
        <v>0</v>
      </c>
      <c r="C99">
        <v>10.5</v>
      </c>
      <c r="D99">
        <v>4.7244094488188972</v>
      </c>
    </row>
    <row r="100" spans="1:12" x14ac:dyDescent="0.35">
      <c r="A100">
        <v>11</v>
      </c>
      <c r="B100">
        <v>0</v>
      </c>
      <c r="C100">
        <v>11</v>
      </c>
      <c r="D100">
        <v>4.9493813273340832</v>
      </c>
    </row>
    <row r="101" spans="1:12" x14ac:dyDescent="0.35">
      <c r="A101">
        <v>11.5</v>
      </c>
      <c r="B101">
        <v>0</v>
      </c>
      <c r="C101">
        <v>11.5</v>
      </c>
      <c r="D101">
        <v>5.1743532058492683</v>
      </c>
    </row>
    <row r="102" spans="1:12" x14ac:dyDescent="0.35">
      <c r="A102" s="3" t="s">
        <v>40</v>
      </c>
      <c r="B102" s="2"/>
      <c r="C102" s="2"/>
      <c r="D102" s="2"/>
      <c r="E102" s="2"/>
      <c r="F102" s="2"/>
      <c r="G102" s="2"/>
      <c r="H102" s="2"/>
      <c r="I102" s="1" t="s">
        <v>26</v>
      </c>
      <c r="J102" s="1" t="s">
        <v>27</v>
      </c>
      <c r="K102" s="1" t="s">
        <v>22</v>
      </c>
      <c r="L102" s="1" t="s">
        <v>23</v>
      </c>
    </row>
    <row r="103" spans="1:12" x14ac:dyDescent="0.35">
      <c r="A103">
        <v>0</v>
      </c>
      <c r="B103">
        <v>0</v>
      </c>
      <c r="C103" cm="1">
        <f t="array" ref="C103:C126">SQRT((A103:A126)^2 +(B103:B126)^2)</f>
        <v>0</v>
      </c>
      <c r="D103" cm="1">
        <f t="array" ref="D103:D126">_xlfn.ANCHORARRAY(C103)/(P2 * Q2)</f>
        <v>0</v>
      </c>
      <c r="I103">
        <v>15</v>
      </c>
      <c r="J103">
        <v>0.5</v>
      </c>
      <c r="K103">
        <v>3</v>
      </c>
      <c r="L103">
        <v>0</v>
      </c>
    </row>
    <row r="104" spans="1:12" x14ac:dyDescent="0.35">
      <c r="A104">
        <v>0.5</v>
      </c>
      <c r="B104">
        <v>0</v>
      </c>
      <c r="C104">
        <v>0.5</v>
      </c>
      <c r="D104">
        <v>0.22497187851518557</v>
      </c>
    </row>
    <row r="105" spans="1:12" x14ac:dyDescent="0.35">
      <c r="A105">
        <v>1</v>
      </c>
      <c r="B105">
        <v>0</v>
      </c>
      <c r="C105">
        <v>1</v>
      </c>
      <c r="D105">
        <v>0.44994375703037115</v>
      </c>
    </row>
    <row r="106" spans="1:12" x14ac:dyDescent="0.35">
      <c r="A106">
        <v>1.5</v>
      </c>
      <c r="B106">
        <v>0</v>
      </c>
      <c r="C106">
        <v>1.5</v>
      </c>
      <c r="D106">
        <v>0.67491563554555678</v>
      </c>
    </row>
    <row r="107" spans="1:12" x14ac:dyDescent="0.35">
      <c r="A107">
        <v>2</v>
      </c>
      <c r="B107">
        <v>0</v>
      </c>
      <c r="C107">
        <v>2</v>
      </c>
      <c r="D107">
        <v>0.8998875140607423</v>
      </c>
    </row>
    <row r="108" spans="1:12" x14ac:dyDescent="0.35">
      <c r="A108">
        <v>2.5</v>
      </c>
      <c r="B108">
        <v>0</v>
      </c>
      <c r="C108">
        <v>2.5</v>
      </c>
      <c r="D108">
        <v>1.124859392575928</v>
      </c>
    </row>
    <row r="109" spans="1:12" x14ac:dyDescent="0.35">
      <c r="A109">
        <v>3</v>
      </c>
      <c r="B109">
        <v>0</v>
      </c>
      <c r="C109">
        <v>3</v>
      </c>
      <c r="D109">
        <v>1.3498312710911136</v>
      </c>
    </row>
    <row r="110" spans="1:12" x14ac:dyDescent="0.35">
      <c r="A110">
        <v>3.5</v>
      </c>
      <c r="B110">
        <v>0</v>
      </c>
      <c r="C110">
        <v>3.5</v>
      </c>
      <c r="D110">
        <v>1.5748031496062991</v>
      </c>
    </row>
    <row r="111" spans="1:12" x14ac:dyDescent="0.35">
      <c r="A111">
        <v>4</v>
      </c>
      <c r="B111">
        <v>0</v>
      </c>
      <c r="C111">
        <v>4</v>
      </c>
      <c r="D111">
        <v>1.7997750281214846</v>
      </c>
    </row>
    <row r="112" spans="1:12" x14ac:dyDescent="0.35">
      <c r="A112">
        <v>4.5</v>
      </c>
      <c r="B112">
        <v>0</v>
      </c>
      <c r="C112">
        <v>4.5</v>
      </c>
      <c r="D112">
        <v>2.0247469066366701</v>
      </c>
    </row>
    <row r="113" spans="1:4" x14ac:dyDescent="0.35">
      <c r="A113">
        <v>5</v>
      </c>
      <c r="B113">
        <v>0</v>
      </c>
      <c r="C113">
        <v>5</v>
      </c>
      <c r="D113">
        <v>2.2497187851518561</v>
      </c>
    </row>
    <row r="114" spans="1:4" x14ac:dyDescent="0.35">
      <c r="A114">
        <v>5.5</v>
      </c>
      <c r="B114">
        <v>0</v>
      </c>
      <c r="C114">
        <v>5.5</v>
      </c>
      <c r="D114">
        <v>2.4746906636670416</v>
      </c>
    </row>
    <row r="115" spans="1:4" x14ac:dyDescent="0.35">
      <c r="A115">
        <v>6</v>
      </c>
      <c r="B115">
        <v>0</v>
      </c>
      <c r="C115">
        <v>6</v>
      </c>
      <c r="D115">
        <v>2.6996625421822271</v>
      </c>
    </row>
    <row r="116" spans="1:4" x14ac:dyDescent="0.35">
      <c r="A116">
        <v>6.5</v>
      </c>
      <c r="B116">
        <v>0</v>
      </c>
      <c r="C116">
        <v>6.5</v>
      </c>
      <c r="D116">
        <v>2.9246344206974126</v>
      </c>
    </row>
    <row r="117" spans="1:4" x14ac:dyDescent="0.35">
      <c r="A117">
        <v>7</v>
      </c>
      <c r="B117">
        <v>0</v>
      </c>
      <c r="C117">
        <v>7</v>
      </c>
      <c r="D117">
        <v>3.1496062992125982</v>
      </c>
    </row>
    <row r="118" spans="1:4" x14ac:dyDescent="0.35">
      <c r="A118">
        <v>7.5</v>
      </c>
      <c r="B118">
        <v>0</v>
      </c>
      <c r="C118">
        <v>7.5</v>
      </c>
      <c r="D118">
        <v>3.3745781777277837</v>
      </c>
    </row>
    <row r="119" spans="1:4" x14ac:dyDescent="0.35">
      <c r="A119">
        <v>8</v>
      </c>
      <c r="B119">
        <v>0</v>
      </c>
      <c r="C119">
        <v>8</v>
      </c>
      <c r="D119">
        <v>3.5995500562429692</v>
      </c>
    </row>
    <row r="120" spans="1:4" x14ac:dyDescent="0.35">
      <c r="A120">
        <v>8.5</v>
      </c>
      <c r="B120">
        <v>0</v>
      </c>
      <c r="C120">
        <v>8.5</v>
      </c>
      <c r="D120">
        <v>3.8245219347581552</v>
      </c>
    </row>
    <row r="121" spans="1:4" x14ac:dyDescent="0.35">
      <c r="A121">
        <v>9</v>
      </c>
      <c r="B121">
        <v>0</v>
      </c>
      <c r="C121">
        <v>9</v>
      </c>
      <c r="D121">
        <v>4.0494938132733402</v>
      </c>
    </row>
    <row r="122" spans="1:4" x14ac:dyDescent="0.35">
      <c r="A122">
        <v>9.5</v>
      </c>
      <c r="B122">
        <v>0</v>
      </c>
      <c r="C122">
        <v>9.5</v>
      </c>
      <c r="D122">
        <v>4.2744656917885262</v>
      </c>
    </row>
    <row r="123" spans="1:4" x14ac:dyDescent="0.35">
      <c r="A123">
        <v>10</v>
      </c>
      <c r="B123">
        <v>0</v>
      </c>
      <c r="C123">
        <v>10</v>
      </c>
      <c r="D123">
        <v>4.4994375703037122</v>
      </c>
    </row>
    <row r="124" spans="1:4" x14ac:dyDescent="0.35">
      <c r="A124">
        <v>10.5</v>
      </c>
      <c r="B124">
        <v>0</v>
      </c>
      <c r="C124">
        <v>10.5</v>
      </c>
      <c r="D124">
        <v>4.7244094488188972</v>
      </c>
    </row>
    <row r="125" spans="1:4" x14ac:dyDescent="0.35">
      <c r="A125">
        <v>11</v>
      </c>
      <c r="B125">
        <v>0</v>
      </c>
      <c r="C125">
        <v>11</v>
      </c>
      <c r="D125">
        <v>4.9493813273340832</v>
      </c>
    </row>
    <row r="126" spans="1:4" x14ac:dyDescent="0.35">
      <c r="A126">
        <v>11.5</v>
      </c>
      <c r="B126">
        <v>0</v>
      </c>
      <c r="C126">
        <v>11.5</v>
      </c>
      <c r="D126">
        <v>5.1743532058492683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9DE05-439E-454C-B457-4DDE3AFD777C}">
  <dimension ref="A1:Q126"/>
  <sheetViews>
    <sheetView zoomScaleNormal="100" workbookViewId="0">
      <selection activeCell="P1" sqref="P1:Q2"/>
    </sheetView>
  </sheetViews>
  <sheetFormatPr defaultRowHeight="14.5" x14ac:dyDescent="0.35"/>
  <cols>
    <col min="3" max="3" width="15.36328125" customWidth="1"/>
    <col min="4" max="4" width="20.90625" customWidth="1"/>
    <col min="6" max="6" width="12.1796875" customWidth="1"/>
    <col min="7" max="7" width="11.7265625" customWidth="1"/>
    <col min="8" max="8" width="51.7265625" customWidth="1"/>
  </cols>
  <sheetData>
    <row r="1" spans="1:17" x14ac:dyDescent="0.35">
      <c r="A1" s="1" t="s">
        <v>0</v>
      </c>
      <c r="B1" s="1" t="s">
        <v>1</v>
      </c>
      <c r="C1" s="1" t="s">
        <v>42</v>
      </c>
      <c r="D1" s="1" t="s">
        <v>41</v>
      </c>
      <c r="E1" s="1" t="s">
        <v>2</v>
      </c>
      <c r="F1" s="1" t="s">
        <v>24</v>
      </c>
      <c r="G1" s="1" t="s">
        <v>25</v>
      </c>
      <c r="H1" s="1" t="s">
        <v>3</v>
      </c>
      <c r="P1" s="1" t="s">
        <v>43</v>
      </c>
      <c r="Q1" s="1" t="s">
        <v>44</v>
      </c>
    </row>
    <row r="2" spans="1:17" x14ac:dyDescent="0.35">
      <c r="A2" s="3" t="s">
        <v>28</v>
      </c>
      <c r="B2" s="2"/>
      <c r="C2" s="2"/>
      <c r="D2" s="2"/>
      <c r="E2" s="2"/>
      <c r="F2" s="2"/>
      <c r="G2" s="2"/>
      <c r="H2" s="2"/>
      <c r="I2" s="1" t="s">
        <v>26</v>
      </c>
      <c r="J2" s="1" t="s">
        <v>27</v>
      </c>
      <c r="K2" s="1" t="s">
        <v>22</v>
      </c>
      <c r="L2" s="1" t="s">
        <v>23</v>
      </c>
      <c r="P2">
        <v>3.5</v>
      </c>
      <c r="Q2">
        <f>635/1000</f>
        <v>0.63500000000000001</v>
      </c>
    </row>
    <row r="3" spans="1:17" x14ac:dyDescent="0.35">
      <c r="A3">
        <v>0</v>
      </c>
      <c r="B3">
        <v>0</v>
      </c>
      <c r="C3" cm="1">
        <f t="array" ref="C3:C26">SQRT((A3:A26)^2 +(B3:B26)^2)</f>
        <v>0</v>
      </c>
      <c r="D3" cm="1">
        <f t="array" ref="D3:D26">_xlfn.ANCHORARRAY(C3)/(P2 * Q2)</f>
        <v>0</v>
      </c>
      <c r="E3">
        <v>2.3E-2</v>
      </c>
      <c r="F3">
        <v>2.1000000000000001E-2</v>
      </c>
      <c r="G3">
        <v>2.8000000000000001E-2</v>
      </c>
      <c r="H3" t="s">
        <v>29</v>
      </c>
      <c r="I3">
        <v>14.5</v>
      </c>
      <c r="J3">
        <v>0.5</v>
      </c>
      <c r="K3">
        <v>2</v>
      </c>
      <c r="L3">
        <v>0</v>
      </c>
    </row>
    <row r="4" spans="1:17" x14ac:dyDescent="0.35">
      <c r="A4">
        <v>0.5</v>
      </c>
      <c r="B4">
        <v>0</v>
      </c>
      <c r="C4">
        <v>0.5</v>
      </c>
      <c r="D4">
        <v>0.22497187851518557</v>
      </c>
      <c r="E4">
        <v>6.6000000000000003E-2</v>
      </c>
      <c r="F4">
        <v>0.06</v>
      </c>
      <c r="G4">
        <v>6.7000000000000004E-2</v>
      </c>
    </row>
    <row r="5" spans="1:17" x14ac:dyDescent="0.35">
      <c r="A5">
        <v>1</v>
      </c>
      <c r="B5">
        <v>0</v>
      </c>
      <c r="C5">
        <v>1</v>
      </c>
      <c r="D5">
        <v>0.44994375703037115</v>
      </c>
      <c r="E5">
        <v>0.19700000000000001</v>
      </c>
      <c r="F5">
        <v>0.188</v>
      </c>
      <c r="G5">
        <v>0.20300000000000001</v>
      </c>
    </row>
    <row r="6" spans="1:17" x14ac:dyDescent="0.35">
      <c r="A6">
        <v>1.5</v>
      </c>
      <c r="B6">
        <v>0</v>
      </c>
      <c r="C6">
        <v>1.5</v>
      </c>
      <c r="D6">
        <v>0.67491563554555678</v>
      </c>
      <c r="E6">
        <v>0.41299999999999998</v>
      </c>
      <c r="F6">
        <v>0.40699999999999997</v>
      </c>
      <c r="G6">
        <v>0.41799999999999998</v>
      </c>
    </row>
    <row r="7" spans="1:17" x14ac:dyDescent="0.35">
      <c r="A7">
        <v>2</v>
      </c>
      <c r="B7">
        <v>0</v>
      </c>
      <c r="C7">
        <v>2</v>
      </c>
      <c r="D7">
        <v>0.8998875140607423</v>
      </c>
      <c r="E7">
        <v>0.58899999999999997</v>
      </c>
      <c r="F7">
        <v>0.58199999999999996</v>
      </c>
      <c r="G7">
        <v>0.59299999999999997</v>
      </c>
    </row>
    <row r="8" spans="1:17" x14ac:dyDescent="0.35">
      <c r="A8">
        <v>2.5</v>
      </c>
      <c r="B8">
        <v>0</v>
      </c>
      <c r="C8">
        <v>2.5</v>
      </c>
      <c r="D8">
        <v>1.124859392575928</v>
      </c>
      <c r="E8">
        <v>0.71199999999999997</v>
      </c>
      <c r="F8">
        <v>0.70799999999999996</v>
      </c>
      <c r="G8">
        <v>0.71399999999999997</v>
      </c>
    </row>
    <row r="9" spans="1:17" x14ac:dyDescent="0.35">
      <c r="A9">
        <v>3</v>
      </c>
      <c r="B9">
        <v>0</v>
      </c>
      <c r="C9">
        <v>3</v>
      </c>
      <c r="D9">
        <v>1.3498312710911136</v>
      </c>
      <c r="E9">
        <v>0.67</v>
      </c>
      <c r="F9">
        <v>0.66800000000000004</v>
      </c>
      <c r="G9">
        <v>0.67500000000000004</v>
      </c>
    </row>
    <row r="10" spans="1:17" x14ac:dyDescent="0.35">
      <c r="A10">
        <v>3.5</v>
      </c>
      <c r="B10">
        <v>0</v>
      </c>
      <c r="C10">
        <v>3.5</v>
      </c>
      <c r="D10">
        <v>1.5748031496062991</v>
      </c>
      <c r="E10">
        <v>0.69399999999999995</v>
      </c>
      <c r="F10">
        <v>0.69099999999999995</v>
      </c>
      <c r="G10">
        <v>0.69699999999999995</v>
      </c>
    </row>
    <row r="11" spans="1:17" x14ac:dyDescent="0.35">
      <c r="A11">
        <v>4</v>
      </c>
      <c r="B11">
        <v>0</v>
      </c>
      <c r="C11">
        <v>4</v>
      </c>
      <c r="D11">
        <v>1.7997750281214846</v>
      </c>
      <c r="E11">
        <v>0.59</v>
      </c>
      <c r="F11">
        <v>0.58699999999999997</v>
      </c>
      <c r="G11">
        <v>0.59499999999999997</v>
      </c>
    </row>
    <row r="12" spans="1:17" x14ac:dyDescent="0.35">
      <c r="A12">
        <v>4.5</v>
      </c>
      <c r="B12">
        <v>0</v>
      </c>
      <c r="C12">
        <v>4.5</v>
      </c>
      <c r="D12">
        <v>2.0247469066366701</v>
      </c>
      <c r="E12">
        <v>0.42199999999999999</v>
      </c>
      <c r="F12">
        <v>0.41899999999999998</v>
      </c>
      <c r="G12">
        <v>0.42599999999999999</v>
      </c>
    </row>
    <row r="13" spans="1:17" x14ac:dyDescent="0.35">
      <c r="A13">
        <v>5</v>
      </c>
      <c r="B13">
        <v>0</v>
      </c>
      <c r="C13">
        <v>5</v>
      </c>
      <c r="D13">
        <v>2.2497187851518561</v>
      </c>
      <c r="E13">
        <v>0.32400000000000001</v>
      </c>
      <c r="F13">
        <v>0.315</v>
      </c>
      <c r="G13">
        <v>0.32700000000000001</v>
      </c>
    </row>
    <row r="14" spans="1:17" x14ac:dyDescent="0.35">
      <c r="A14">
        <v>5.5</v>
      </c>
      <c r="B14">
        <v>0</v>
      </c>
      <c r="C14">
        <v>5.5</v>
      </c>
      <c r="D14">
        <v>2.4746906636670416</v>
      </c>
      <c r="E14">
        <v>0.19700000000000001</v>
      </c>
      <c r="F14">
        <v>0.192</v>
      </c>
      <c r="G14">
        <v>0.2</v>
      </c>
    </row>
    <row r="15" spans="1:17" x14ac:dyDescent="0.35">
      <c r="A15">
        <v>6</v>
      </c>
      <c r="B15">
        <v>0</v>
      </c>
      <c r="C15">
        <v>6</v>
      </c>
      <c r="D15">
        <v>2.6996625421822271</v>
      </c>
      <c r="E15">
        <v>0.11799999999999999</v>
      </c>
      <c r="F15">
        <v>0.114</v>
      </c>
      <c r="G15">
        <v>0.12</v>
      </c>
    </row>
    <row r="16" spans="1:17" x14ac:dyDescent="0.35">
      <c r="A16">
        <v>6.5</v>
      </c>
      <c r="B16">
        <v>0</v>
      </c>
      <c r="C16">
        <v>6.5</v>
      </c>
      <c r="D16">
        <v>2.9246344206974126</v>
      </c>
      <c r="E16">
        <v>6.6000000000000003E-2</v>
      </c>
      <c r="F16">
        <v>6.5000000000000002E-2</v>
      </c>
      <c r="G16">
        <v>6.8000000000000005E-2</v>
      </c>
    </row>
    <row r="17" spans="1:12" x14ac:dyDescent="0.35">
      <c r="A17">
        <v>7</v>
      </c>
      <c r="B17">
        <v>0</v>
      </c>
      <c r="C17">
        <v>7</v>
      </c>
      <c r="D17">
        <v>3.1496062992125982</v>
      </c>
      <c r="E17">
        <v>3.5999999999999997E-2</v>
      </c>
      <c r="F17">
        <v>3.5000000000000003E-2</v>
      </c>
      <c r="G17">
        <v>3.6999999999999998E-2</v>
      </c>
    </row>
    <row r="18" spans="1:12" x14ac:dyDescent="0.35">
      <c r="A18">
        <v>7.5</v>
      </c>
      <c r="B18">
        <v>0</v>
      </c>
      <c r="C18">
        <v>7.5</v>
      </c>
      <c r="D18">
        <v>3.3745781777277837</v>
      </c>
      <c r="E18">
        <v>1.4999999999999999E-2</v>
      </c>
      <c r="H18" t="s">
        <v>30</v>
      </c>
    </row>
    <row r="19" spans="1:12" x14ac:dyDescent="0.35">
      <c r="A19">
        <v>8</v>
      </c>
      <c r="B19">
        <v>0</v>
      </c>
      <c r="C19">
        <v>8</v>
      </c>
      <c r="D19">
        <v>3.5995500562429692</v>
      </c>
      <c r="E19">
        <v>6.0000000000000001E-3</v>
      </c>
      <c r="H19" t="s">
        <v>31</v>
      </c>
    </row>
    <row r="20" spans="1:12" x14ac:dyDescent="0.35">
      <c r="A20">
        <v>8.5</v>
      </c>
      <c r="B20">
        <v>0</v>
      </c>
      <c r="C20">
        <v>8.5</v>
      </c>
      <c r="D20">
        <v>3.8245219347581552</v>
      </c>
      <c r="E20">
        <v>3.0000000000000001E-3</v>
      </c>
      <c r="H20" t="s">
        <v>32</v>
      </c>
    </row>
    <row r="21" spans="1:12" x14ac:dyDescent="0.35">
      <c r="A21">
        <v>9</v>
      </c>
      <c r="B21">
        <v>0</v>
      </c>
      <c r="C21">
        <v>9</v>
      </c>
      <c r="D21">
        <v>4.0494938132733402</v>
      </c>
      <c r="E21">
        <v>1E-3</v>
      </c>
    </row>
    <row r="22" spans="1:12" x14ac:dyDescent="0.35">
      <c r="A22">
        <v>9.5</v>
      </c>
      <c r="B22">
        <v>0</v>
      </c>
      <c r="C22">
        <v>9.5</v>
      </c>
      <c r="D22">
        <v>4.2744656917885262</v>
      </c>
      <c r="E22">
        <v>2E-3</v>
      </c>
      <c r="H22" t="s">
        <v>33</v>
      </c>
    </row>
    <row r="23" spans="1:12" x14ac:dyDescent="0.35">
      <c r="A23">
        <v>10</v>
      </c>
      <c r="B23">
        <v>0</v>
      </c>
      <c r="C23">
        <v>10</v>
      </c>
      <c r="D23">
        <v>4.4994375703037122</v>
      </c>
      <c r="E23">
        <v>1E-3</v>
      </c>
    </row>
    <row r="24" spans="1:12" x14ac:dyDescent="0.35">
      <c r="A24">
        <v>10.5</v>
      </c>
      <c r="B24">
        <v>0</v>
      </c>
      <c r="C24">
        <v>10.5</v>
      </c>
      <c r="D24">
        <v>4.7244094488188972</v>
      </c>
      <c r="E24">
        <v>1E-3</v>
      </c>
    </row>
    <row r="25" spans="1:12" x14ac:dyDescent="0.35">
      <c r="A25">
        <v>11</v>
      </c>
      <c r="B25">
        <v>0</v>
      </c>
      <c r="C25">
        <v>11</v>
      </c>
      <c r="D25">
        <v>4.9493813273340832</v>
      </c>
      <c r="E25">
        <v>2E-3</v>
      </c>
    </row>
    <row r="26" spans="1:12" x14ac:dyDescent="0.35">
      <c r="A26">
        <v>11.5</v>
      </c>
      <c r="B26">
        <v>0</v>
      </c>
      <c r="C26">
        <v>11.5</v>
      </c>
      <c r="D26">
        <v>5.1743532058492683</v>
      </c>
      <c r="E26">
        <v>1E-3</v>
      </c>
    </row>
    <row r="27" spans="1:12" x14ac:dyDescent="0.35">
      <c r="A27" s="3" t="s">
        <v>34</v>
      </c>
      <c r="B27" s="2"/>
      <c r="C27" s="2"/>
      <c r="D27" s="2"/>
      <c r="E27" s="2"/>
      <c r="F27" s="2"/>
      <c r="G27" s="2"/>
      <c r="H27" s="2"/>
      <c r="I27" s="1" t="s">
        <v>26</v>
      </c>
      <c r="J27" s="1" t="s">
        <v>27</v>
      </c>
      <c r="K27" s="1" t="s">
        <v>22</v>
      </c>
      <c r="L27" s="1" t="s">
        <v>23</v>
      </c>
    </row>
    <row r="28" spans="1:12" x14ac:dyDescent="0.35">
      <c r="A28">
        <v>0</v>
      </c>
      <c r="B28">
        <v>0</v>
      </c>
      <c r="C28" cm="1">
        <f t="array" ref="C28:C51">SQRT((A28:A51)^2 +(B28:B51)^2)</f>
        <v>0</v>
      </c>
      <c r="D28" cm="1">
        <f t="array" ref="D28:D51">_xlfn.ANCHORARRAY(C28)/(P2*Q2)</f>
        <v>0</v>
      </c>
      <c r="E28">
        <v>1.7000000000000001E-2</v>
      </c>
      <c r="F28">
        <v>1.6E-2</v>
      </c>
      <c r="G28">
        <v>1.9E-2</v>
      </c>
      <c r="I28">
        <v>15</v>
      </c>
      <c r="J28">
        <v>0.5</v>
      </c>
      <c r="K28">
        <v>3</v>
      </c>
      <c r="L28">
        <v>0</v>
      </c>
    </row>
    <row r="29" spans="1:12" x14ac:dyDescent="0.35">
      <c r="A29">
        <v>0.5</v>
      </c>
      <c r="B29">
        <v>0</v>
      </c>
      <c r="C29">
        <v>0.5</v>
      </c>
      <c r="D29">
        <v>0.22497187851518557</v>
      </c>
      <c r="E29">
        <v>0.46700000000000003</v>
      </c>
      <c r="F29">
        <v>0.45400000000000001</v>
      </c>
      <c r="G29">
        <v>0.47199999999999998</v>
      </c>
    </row>
    <row r="30" spans="1:12" x14ac:dyDescent="0.35">
      <c r="A30">
        <v>1</v>
      </c>
      <c r="B30">
        <v>0</v>
      </c>
      <c r="C30">
        <v>1</v>
      </c>
      <c r="D30">
        <v>0.44994375703037115</v>
      </c>
      <c r="E30">
        <v>0.71099999999999997</v>
      </c>
      <c r="F30">
        <v>0.70099999999999996</v>
      </c>
      <c r="G30">
        <v>0.72</v>
      </c>
    </row>
    <row r="31" spans="1:12" x14ac:dyDescent="0.35">
      <c r="A31">
        <v>1.5</v>
      </c>
      <c r="B31">
        <v>0</v>
      </c>
      <c r="C31">
        <v>1.5</v>
      </c>
      <c r="D31">
        <v>0.67491563554555678</v>
      </c>
      <c r="E31">
        <v>0.872</v>
      </c>
      <c r="F31">
        <v>0.86499999999999999</v>
      </c>
      <c r="G31">
        <v>0.878</v>
      </c>
    </row>
    <row r="32" spans="1:12" x14ac:dyDescent="0.35">
      <c r="A32">
        <v>2</v>
      </c>
      <c r="B32">
        <v>0</v>
      </c>
      <c r="C32">
        <v>2</v>
      </c>
      <c r="D32">
        <v>0.8998875140607423</v>
      </c>
      <c r="E32">
        <v>0.91600000000000004</v>
      </c>
      <c r="F32">
        <v>0.91200000000000003</v>
      </c>
      <c r="G32">
        <v>0.91800000000000004</v>
      </c>
    </row>
    <row r="33" spans="1:8" x14ac:dyDescent="0.35">
      <c r="A33">
        <v>2.5</v>
      </c>
      <c r="B33">
        <v>0</v>
      </c>
      <c r="C33">
        <v>2.5</v>
      </c>
      <c r="D33">
        <v>1.124859392575928</v>
      </c>
      <c r="E33">
        <v>0.84299999999999997</v>
      </c>
      <c r="F33">
        <v>0.83899999999999997</v>
      </c>
      <c r="G33">
        <v>0.84599999999999997</v>
      </c>
    </row>
    <row r="34" spans="1:8" x14ac:dyDescent="0.35">
      <c r="A34">
        <v>3</v>
      </c>
      <c r="B34">
        <v>0</v>
      </c>
      <c r="C34">
        <v>3</v>
      </c>
      <c r="D34">
        <v>1.3498312710911136</v>
      </c>
      <c r="E34">
        <v>0.67700000000000005</v>
      </c>
      <c r="F34">
        <v>0.66100000000000003</v>
      </c>
      <c r="G34">
        <v>0.68100000000000005</v>
      </c>
    </row>
    <row r="35" spans="1:8" x14ac:dyDescent="0.35">
      <c r="A35">
        <v>3.5</v>
      </c>
      <c r="B35">
        <v>0</v>
      </c>
      <c r="C35">
        <v>3.5</v>
      </c>
      <c r="D35">
        <v>1.5748031496062991</v>
      </c>
      <c r="E35">
        <v>0.48199999999999998</v>
      </c>
      <c r="F35">
        <v>0.47699999999999998</v>
      </c>
      <c r="G35">
        <v>0.49199999999999999</v>
      </c>
    </row>
    <row r="36" spans="1:8" x14ac:dyDescent="0.35">
      <c r="A36">
        <v>4</v>
      </c>
      <c r="B36">
        <v>0</v>
      </c>
      <c r="C36">
        <v>4</v>
      </c>
      <c r="D36">
        <v>1.7997750281214846</v>
      </c>
      <c r="E36">
        <v>0.33300000000000002</v>
      </c>
      <c r="F36">
        <v>0.32100000000000001</v>
      </c>
      <c r="G36">
        <v>0.34</v>
      </c>
    </row>
    <row r="37" spans="1:8" x14ac:dyDescent="0.35">
      <c r="A37">
        <v>4.5</v>
      </c>
      <c r="B37">
        <v>0</v>
      </c>
      <c r="C37">
        <v>4.5</v>
      </c>
      <c r="D37">
        <v>2.0247469066366701</v>
      </c>
      <c r="E37">
        <v>0.16700000000000001</v>
      </c>
      <c r="F37">
        <v>0.16300000000000001</v>
      </c>
      <c r="G37">
        <v>0.17</v>
      </c>
    </row>
    <row r="38" spans="1:8" x14ac:dyDescent="0.35">
      <c r="A38">
        <v>5</v>
      </c>
      <c r="B38">
        <v>0</v>
      </c>
      <c r="C38">
        <v>5</v>
      </c>
      <c r="D38">
        <v>2.2497187851518561</v>
      </c>
      <c r="E38">
        <v>9.8000000000000004E-2</v>
      </c>
      <c r="F38">
        <v>9.5000000000000001E-2</v>
      </c>
      <c r="G38">
        <v>0.10100000000000001</v>
      </c>
    </row>
    <row r="39" spans="1:8" x14ac:dyDescent="0.35">
      <c r="A39">
        <v>5.5</v>
      </c>
      <c r="B39">
        <v>0</v>
      </c>
      <c r="C39">
        <v>5.5</v>
      </c>
      <c r="D39">
        <v>2.4746906636670416</v>
      </c>
      <c r="E39">
        <v>4.2000000000000003E-2</v>
      </c>
      <c r="F39">
        <v>4.1000000000000002E-2</v>
      </c>
      <c r="G39">
        <v>4.3999999999999997E-2</v>
      </c>
    </row>
    <row r="40" spans="1:8" x14ac:dyDescent="0.35">
      <c r="A40">
        <v>6</v>
      </c>
      <c r="B40">
        <v>0</v>
      </c>
      <c r="C40">
        <v>6</v>
      </c>
      <c r="D40">
        <v>2.6996625421822271</v>
      </c>
      <c r="E40">
        <v>2.1000000000000001E-2</v>
      </c>
    </row>
    <row r="41" spans="1:8" x14ac:dyDescent="0.35">
      <c r="A41">
        <v>6.5</v>
      </c>
      <c r="B41">
        <v>0</v>
      </c>
      <c r="C41">
        <v>6.5</v>
      </c>
      <c r="D41">
        <v>2.9246344206974126</v>
      </c>
      <c r="E41">
        <v>1.0999999999999999E-2</v>
      </c>
      <c r="H41" t="s">
        <v>35</v>
      </c>
    </row>
    <row r="42" spans="1:8" x14ac:dyDescent="0.35">
      <c r="A42">
        <v>7</v>
      </c>
      <c r="B42">
        <v>0</v>
      </c>
      <c r="C42">
        <v>7</v>
      </c>
      <c r="D42">
        <v>3.1496062992125982</v>
      </c>
      <c r="E42">
        <v>7.0000000000000001E-3</v>
      </c>
    </row>
    <row r="43" spans="1:8" x14ac:dyDescent="0.35">
      <c r="A43">
        <v>7.5</v>
      </c>
      <c r="B43">
        <v>0</v>
      </c>
      <c r="C43">
        <v>7.5</v>
      </c>
      <c r="D43">
        <v>3.3745781777277837</v>
      </c>
      <c r="E43">
        <v>4.0000000000000001E-3</v>
      </c>
    </row>
    <row r="44" spans="1:8" x14ac:dyDescent="0.35">
      <c r="A44">
        <v>8</v>
      </c>
      <c r="B44">
        <v>0</v>
      </c>
      <c r="C44">
        <v>8</v>
      </c>
      <c r="D44">
        <v>3.5995500562429692</v>
      </c>
      <c r="E44">
        <v>4.0000000000000001E-3</v>
      </c>
    </row>
    <row r="45" spans="1:8" x14ac:dyDescent="0.35">
      <c r="A45">
        <v>8.5</v>
      </c>
      <c r="B45">
        <v>0</v>
      </c>
      <c r="C45">
        <v>8.5</v>
      </c>
      <c r="D45">
        <v>3.8245219347581552</v>
      </c>
      <c r="E45">
        <v>5.0000000000000001E-3</v>
      </c>
    </row>
    <row r="46" spans="1:8" x14ac:dyDescent="0.35">
      <c r="A46">
        <v>9</v>
      </c>
      <c r="B46">
        <v>0</v>
      </c>
      <c r="C46">
        <v>9</v>
      </c>
      <c r="D46">
        <v>4.0494938132733402</v>
      </c>
      <c r="E46">
        <v>4.0000000000000001E-3</v>
      </c>
    </row>
    <row r="47" spans="1:8" x14ac:dyDescent="0.35">
      <c r="A47">
        <v>9.5</v>
      </c>
      <c r="B47">
        <v>0</v>
      </c>
      <c r="C47">
        <v>9.5</v>
      </c>
      <c r="D47">
        <v>4.2744656917885262</v>
      </c>
      <c r="E47">
        <v>2E-3</v>
      </c>
    </row>
    <row r="48" spans="1:8" x14ac:dyDescent="0.35">
      <c r="A48">
        <v>10</v>
      </c>
      <c r="B48">
        <v>0</v>
      </c>
      <c r="C48">
        <v>10</v>
      </c>
      <c r="D48">
        <v>4.4994375703037122</v>
      </c>
      <c r="E48">
        <v>2E-3</v>
      </c>
    </row>
    <row r="49" spans="1:12" x14ac:dyDescent="0.35">
      <c r="A49">
        <v>10.5</v>
      </c>
      <c r="B49">
        <v>0</v>
      </c>
      <c r="C49">
        <v>10.5</v>
      </c>
      <c r="D49">
        <v>4.7244094488188972</v>
      </c>
      <c r="E49">
        <v>2E-3</v>
      </c>
      <c r="H49" t="s">
        <v>36</v>
      </c>
    </row>
    <row r="50" spans="1:12" x14ac:dyDescent="0.35">
      <c r="A50">
        <v>11</v>
      </c>
      <c r="B50">
        <v>0</v>
      </c>
      <c r="C50">
        <v>11</v>
      </c>
      <c r="D50">
        <v>4.9493813273340832</v>
      </c>
      <c r="E50">
        <v>4.0000000000000001E-3</v>
      </c>
    </row>
    <row r="51" spans="1:12" x14ac:dyDescent="0.35">
      <c r="A51">
        <v>11.5</v>
      </c>
      <c r="B51">
        <v>0</v>
      </c>
      <c r="C51">
        <v>11.5</v>
      </c>
      <c r="D51">
        <v>5.1743532058492683</v>
      </c>
      <c r="E51">
        <v>5.0000000000000001E-3</v>
      </c>
    </row>
    <row r="52" spans="1:12" x14ac:dyDescent="0.35">
      <c r="A52" s="3" t="s">
        <v>37</v>
      </c>
      <c r="B52" s="2"/>
      <c r="C52" s="2"/>
      <c r="D52" s="2"/>
      <c r="E52" s="2"/>
      <c r="F52" s="2"/>
      <c r="G52" s="2"/>
      <c r="H52" s="2"/>
      <c r="I52" s="1" t="s">
        <v>26</v>
      </c>
      <c r="J52" s="1" t="s">
        <v>27</v>
      </c>
      <c r="K52" s="1" t="s">
        <v>22</v>
      </c>
      <c r="L52" s="1" t="s">
        <v>23</v>
      </c>
    </row>
    <row r="53" spans="1:12" x14ac:dyDescent="0.35">
      <c r="A53">
        <v>0</v>
      </c>
      <c r="B53">
        <v>0</v>
      </c>
      <c r="C53" cm="1">
        <f t="array" ref="C53:C76">SQRT((A53:A76)^2 +(B53:B76)^2)</f>
        <v>0</v>
      </c>
      <c r="D53" cm="1">
        <f t="array" ref="D53:D76">_xlfn.ANCHORARRAY(C53)/(P2 * Q2)</f>
        <v>0</v>
      </c>
      <c r="E53">
        <v>1.7000000000000001E-2</v>
      </c>
      <c r="F53">
        <v>1.4999999999999999E-2</v>
      </c>
      <c r="G53">
        <v>1.9E-2</v>
      </c>
      <c r="I53">
        <v>15</v>
      </c>
      <c r="J53">
        <v>0.5</v>
      </c>
      <c r="K53">
        <v>3</v>
      </c>
      <c r="L53">
        <v>0</v>
      </c>
    </row>
    <row r="54" spans="1:12" x14ac:dyDescent="0.35">
      <c r="A54">
        <v>0.5</v>
      </c>
      <c r="B54">
        <v>0</v>
      </c>
      <c r="C54">
        <v>0.5</v>
      </c>
      <c r="D54">
        <v>0.22497187851518557</v>
      </c>
      <c r="E54">
        <v>0.107</v>
      </c>
      <c r="F54">
        <v>9.5000000000000001E-2</v>
      </c>
      <c r="G54">
        <v>0.115</v>
      </c>
    </row>
    <row r="55" spans="1:12" x14ac:dyDescent="0.35">
      <c r="A55">
        <v>1</v>
      </c>
      <c r="B55">
        <v>0</v>
      </c>
      <c r="C55">
        <v>1</v>
      </c>
      <c r="D55">
        <v>0.44994375703037115</v>
      </c>
      <c r="E55">
        <v>0.13600000000000001</v>
      </c>
      <c r="F55">
        <v>0.13200000000000001</v>
      </c>
      <c r="G55">
        <v>0.14499999999999999</v>
      </c>
    </row>
    <row r="56" spans="1:12" x14ac:dyDescent="0.35">
      <c r="A56">
        <v>1.5</v>
      </c>
      <c r="B56">
        <v>0</v>
      </c>
      <c r="C56">
        <v>1.5</v>
      </c>
      <c r="D56">
        <v>0.67491563554555678</v>
      </c>
      <c r="E56">
        <v>0.52300000000000002</v>
      </c>
      <c r="F56">
        <v>0.51700000000000002</v>
      </c>
      <c r="G56">
        <v>0.53300000000000003</v>
      </c>
    </row>
    <row r="57" spans="1:12" x14ac:dyDescent="0.35">
      <c r="A57">
        <v>2</v>
      </c>
      <c r="B57">
        <v>0</v>
      </c>
      <c r="C57">
        <v>2</v>
      </c>
      <c r="D57">
        <v>0.8998875140607423</v>
      </c>
      <c r="E57">
        <v>0.748</v>
      </c>
      <c r="F57">
        <v>0.73699999999999999</v>
      </c>
      <c r="G57">
        <v>0.75800000000000001</v>
      </c>
    </row>
    <row r="58" spans="1:12" x14ac:dyDescent="0.35">
      <c r="A58">
        <v>2.5</v>
      </c>
      <c r="B58">
        <v>0</v>
      </c>
      <c r="C58">
        <v>2.5</v>
      </c>
      <c r="D58">
        <v>1.124859392575928</v>
      </c>
      <c r="E58">
        <v>0.86799999999999999</v>
      </c>
      <c r="F58">
        <v>0.86399999999999999</v>
      </c>
      <c r="G58">
        <v>0.876</v>
      </c>
    </row>
    <row r="59" spans="1:12" x14ac:dyDescent="0.35">
      <c r="A59">
        <v>3</v>
      </c>
      <c r="B59">
        <v>0</v>
      </c>
      <c r="C59">
        <v>3</v>
      </c>
      <c r="D59">
        <v>1.3498312710911136</v>
      </c>
      <c r="E59">
        <v>0.874</v>
      </c>
      <c r="F59">
        <v>0.86699999999999999</v>
      </c>
      <c r="G59">
        <v>0.879</v>
      </c>
    </row>
    <row r="60" spans="1:12" x14ac:dyDescent="0.35">
      <c r="A60">
        <v>3.5</v>
      </c>
      <c r="B60">
        <v>0</v>
      </c>
      <c r="C60">
        <v>3.5</v>
      </c>
      <c r="D60">
        <v>1.5748031496062991</v>
      </c>
      <c r="E60">
        <v>0.78500000000000003</v>
      </c>
      <c r="F60">
        <v>0.78</v>
      </c>
      <c r="G60">
        <v>0.78800000000000003</v>
      </c>
    </row>
    <row r="61" spans="1:12" x14ac:dyDescent="0.35">
      <c r="A61">
        <v>4</v>
      </c>
      <c r="B61">
        <v>0</v>
      </c>
      <c r="C61">
        <v>4</v>
      </c>
      <c r="D61">
        <v>1.7997750281214846</v>
      </c>
      <c r="E61">
        <v>0.64600000000000002</v>
      </c>
      <c r="F61">
        <v>0.63700000000000001</v>
      </c>
      <c r="G61">
        <v>0.65400000000000003</v>
      </c>
    </row>
    <row r="62" spans="1:12" x14ac:dyDescent="0.35">
      <c r="A62">
        <v>4.5</v>
      </c>
      <c r="B62">
        <v>0</v>
      </c>
      <c r="C62">
        <v>4.5</v>
      </c>
      <c r="D62">
        <v>2.0247469066366701</v>
      </c>
      <c r="E62">
        <v>0.42699999999999999</v>
      </c>
      <c r="F62">
        <v>0.42199999999999999</v>
      </c>
      <c r="G62">
        <v>0.435</v>
      </c>
    </row>
    <row r="63" spans="1:12" x14ac:dyDescent="0.35">
      <c r="A63">
        <v>5</v>
      </c>
      <c r="B63">
        <v>0</v>
      </c>
      <c r="C63">
        <v>5</v>
      </c>
      <c r="D63">
        <v>2.2497187851518561</v>
      </c>
      <c r="E63">
        <v>0.32900000000000001</v>
      </c>
      <c r="F63">
        <v>0.32300000000000001</v>
      </c>
      <c r="G63">
        <v>0.33400000000000002</v>
      </c>
    </row>
    <row r="64" spans="1:12" x14ac:dyDescent="0.35">
      <c r="A64">
        <v>5.5</v>
      </c>
      <c r="B64">
        <v>0</v>
      </c>
      <c r="C64">
        <v>5.5</v>
      </c>
      <c r="D64">
        <v>2.4746906636670416</v>
      </c>
      <c r="E64">
        <v>0.2</v>
      </c>
      <c r="F64">
        <v>0.19600000000000001</v>
      </c>
      <c r="G64">
        <v>0.20300000000000001</v>
      </c>
    </row>
    <row r="65" spans="1:12" x14ac:dyDescent="0.35">
      <c r="A65">
        <v>6</v>
      </c>
      <c r="B65">
        <v>0</v>
      </c>
      <c r="C65">
        <v>6</v>
      </c>
      <c r="D65">
        <v>2.6996625421822271</v>
      </c>
      <c r="E65">
        <v>0.105</v>
      </c>
      <c r="F65">
        <v>0.10199999999999999</v>
      </c>
      <c r="G65">
        <v>0.111</v>
      </c>
    </row>
    <row r="66" spans="1:12" x14ac:dyDescent="0.35">
      <c r="A66">
        <v>6.5</v>
      </c>
      <c r="B66">
        <v>0</v>
      </c>
      <c r="C66">
        <v>6.5</v>
      </c>
      <c r="D66">
        <v>2.9246344206974126</v>
      </c>
      <c r="E66">
        <v>5.7000000000000002E-2</v>
      </c>
      <c r="F66">
        <v>5.5E-2</v>
      </c>
      <c r="G66">
        <v>5.8000000000000003E-2</v>
      </c>
    </row>
    <row r="67" spans="1:12" x14ac:dyDescent="0.35">
      <c r="A67">
        <v>7</v>
      </c>
      <c r="B67">
        <v>0</v>
      </c>
      <c r="C67">
        <v>7</v>
      </c>
      <c r="D67">
        <v>3.1496062992125982</v>
      </c>
      <c r="E67">
        <v>7.5999999999999998E-2</v>
      </c>
      <c r="F67">
        <v>7.1999999999999995E-2</v>
      </c>
      <c r="G67">
        <v>0.79</v>
      </c>
    </row>
    <row r="68" spans="1:12" x14ac:dyDescent="0.35">
      <c r="A68">
        <v>7.5</v>
      </c>
      <c r="B68">
        <v>0</v>
      </c>
      <c r="C68">
        <v>7.5</v>
      </c>
      <c r="D68">
        <v>3.3745781777277837</v>
      </c>
      <c r="E68">
        <v>1.2999999999999999E-2</v>
      </c>
      <c r="F68">
        <v>1.2999999999999999E-2</v>
      </c>
      <c r="G68">
        <v>1.4E-2</v>
      </c>
    </row>
    <row r="69" spans="1:12" x14ac:dyDescent="0.35">
      <c r="A69">
        <v>8</v>
      </c>
      <c r="B69">
        <v>0</v>
      </c>
      <c r="C69">
        <v>8</v>
      </c>
      <c r="D69">
        <v>3.5995500562429692</v>
      </c>
      <c r="E69">
        <v>6.0000000000000001E-3</v>
      </c>
    </row>
    <row r="70" spans="1:12" x14ac:dyDescent="0.35">
      <c r="A70">
        <v>8.5</v>
      </c>
      <c r="B70">
        <v>0</v>
      </c>
      <c r="C70">
        <v>8.5</v>
      </c>
      <c r="D70">
        <v>3.8245219347581552</v>
      </c>
      <c r="E70">
        <v>4.0000000000000001E-3</v>
      </c>
    </row>
    <row r="71" spans="1:12" x14ac:dyDescent="0.35">
      <c r="A71">
        <v>9</v>
      </c>
      <c r="B71">
        <v>0</v>
      </c>
      <c r="C71">
        <v>9</v>
      </c>
      <c r="D71">
        <v>4.0494938132733402</v>
      </c>
      <c r="E71">
        <v>5.0000000000000001E-3</v>
      </c>
    </row>
    <row r="72" spans="1:12" x14ac:dyDescent="0.35">
      <c r="A72">
        <v>9.5</v>
      </c>
      <c r="B72">
        <v>0</v>
      </c>
      <c r="C72">
        <v>9.5</v>
      </c>
      <c r="D72">
        <v>4.2744656917885262</v>
      </c>
      <c r="E72">
        <v>4.0000000000000001E-3</v>
      </c>
    </row>
    <row r="73" spans="1:12" x14ac:dyDescent="0.35">
      <c r="A73">
        <v>10</v>
      </c>
      <c r="B73">
        <v>0</v>
      </c>
      <c r="C73">
        <v>10</v>
      </c>
      <c r="D73">
        <v>4.4994375703037122</v>
      </c>
      <c r="E73">
        <v>4.0000000000000001E-3</v>
      </c>
    </row>
    <row r="74" spans="1:12" x14ac:dyDescent="0.35">
      <c r="A74">
        <v>10.5</v>
      </c>
      <c r="B74">
        <v>0</v>
      </c>
      <c r="C74">
        <v>10.5</v>
      </c>
      <c r="D74">
        <v>4.7244094488188972</v>
      </c>
      <c r="E74">
        <v>1E-3</v>
      </c>
    </row>
    <row r="75" spans="1:12" x14ac:dyDescent="0.35">
      <c r="A75">
        <v>11</v>
      </c>
      <c r="B75">
        <v>0</v>
      </c>
      <c r="C75">
        <v>11</v>
      </c>
      <c r="D75">
        <v>4.9493813273340832</v>
      </c>
      <c r="E75">
        <v>2E-3</v>
      </c>
      <c r="H75" t="s">
        <v>38</v>
      </c>
    </row>
    <row r="76" spans="1:12" x14ac:dyDescent="0.35">
      <c r="A76">
        <v>11.5</v>
      </c>
      <c r="B76">
        <v>0</v>
      </c>
      <c r="C76">
        <v>11.5</v>
      </c>
      <c r="D76">
        <v>5.1743532058492683</v>
      </c>
      <c r="E76">
        <v>4.0000000000000001E-3</v>
      </c>
    </row>
    <row r="77" spans="1:12" x14ac:dyDescent="0.35">
      <c r="A77" s="3" t="s">
        <v>39</v>
      </c>
      <c r="B77" s="2"/>
      <c r="C77" s="2"/>
      <c r="D77" s="2"/>
      <c r="E77" s="2"/>
      <c r="F77" s="2"/>
      <c r="G77" s="2"/>
      <c r="H77" s="2"/>
      <c r="I77" s="1" t="s">
        <v>26</v>
      </c>
      <c r="J77" s="1" t="s">
        <v>27</v>
      </c>
      <c r="K77" s="1" t="s">
        <v>22</v>
      </c>
      <c r="L77" s="1" t="s">
        <v>23</v>
      </c>
    </row>
    <row r="78" spans="1:12" x14ac:dyDescent="0.35">
      <c r="A78">
        <v>0</v>
      </c>
      <c r="B78">
        <v>0</v>
      </c>
      <c r="C78" cm="1">
        <f t="array" ref="C78:C101">SQRT((A78:A101)^2 +(B78:B101)^2)</f>
        <v>0</v>
      </c>
      <c r="D78" cm="1">
        <f t="array" ref="D78:D101">_xlfn.ANCHORARRAY(C78)/(P2 * Q2)</f>
        <v>0</v>
      </c>
      <c r="E78">
        <v>1.7000000000000001E-2</v>
      </c>
      <c r="F78">
        <v>1.4999999999999999E-2</v>
      </c>
      <c r="G78">
        <v>0.02</v>
      </c>
      <c r="I78">
        <v>15</v>
      </c>
      <c r="J78">
        <v>0.5</v>
      </c>
      <c r="K78">
        <v>3</v>
      </c>
      <c r="L78">
        <v>0</v>
      </c>
    </row>
    <row r="79" spans="1:12" x14ac:dyDescent="0.35">
      <c r="A79">
        <v>0.5</v>
      </c>
      <c r="B79">
        <v>0</v>
      </c>
      <c r="C79">
        <v>0.5</v>
      </c>
      <c r="D79">
        <v>0.22497187851518557</v>
      </c>
      <c r="E79">
        <v>0.46700000000000003</v>
      </c>
      <c r="F79">
        <v>0.46</v>
      </c>
      <c r="G79">
        <v>0.47299999999999998</v>
      </c>
    </row>
    <row r="80" spans="1:12" x14ac:dyDescent="0.35">
      <c r="A80">
        <v>1</v>
      </c>
      <c r="B80">
        <v>0</v>
      </c>
      <c r="C80">
        <v>1</v>
      </c>
      <c r="D80">
        <v>0.44994375703037115</v>
      </c>
      <c r="E80">
        <v>0.71799999999999997</v>
      </c>
      <c r="F80">
        <v>0.71099999999999997</v>
      </c>
      <c r="G80">
        <v>0.72699999999999998</v>
      </c>
    </row>
    <row r="81" spans="1:7" x14ac:dyDescent="0.35">
      <c r="A81">
        <v>1.5</v>
      </c>
      <c r="B81">
        <v>0</v>
      </c>
      <c r="C81">
        <v>1.5</v>
      </c>
      <c r="D81">
        <v>0.67491563554555678</v>
      </c>
      <c r="E81">
        <v>0.55500000000000005</v>
      </c>
      <c r="F81">
        <v>0.54300000000000004</v>
      </c>
      <c r="G81">
        <v>0.56200000000000006</v>
      </c>
    </row>
    <row r="82" spans="1:7" x14ac:dyDescent="0.35">
      <c r="A82">
        <v>2</v>
      </c>
      <c r="B82">
        <v>0</v>
      </c>
      <c r="C82">
        <v>2</v>
      </c>
      <c r="D82">
        <v>0.8998875140607423</v>
      </c>
      <c r="E82">
        <v>0.84799999999999998</v>
      </c>
      <c r="F82">
        <v>0.84299999999999997</v>
      </c>
      <c r="G82">
        <v>0.86399999999999999</v>
      </c>
    </row>
    <row r="83" spans="1:7" x14ac:dyDescent="0.35">
      <c r="A83">
        <v>2.5</v>
      </c>
      <c r="B83">
        <v>0</v>
      </c>
      <c r="C83">
        <v>2.5</v>
      </c>
      <c r="D83">
        <v>1.124859392575928</v>
      </c>
      <c r="E83">
        <v>0.83899999999999997</v>
      </c>
      <c r="F83">
        <v>0.83399999999999996</v>
      </c>
      <c r="G83">
        <v>0.84599999999999997</v>
      </c>
    </row>
    <row r="84" spans="1:7" x14ac:dyDescent="0.35">
      <c r="A84">
        <v>3</v>
      </c>
      <c r="B84">
        <v>0</v>
      </c>
      <c r="C84">
        <v>3</v>
      </c>
      <c r="D84">
        <v>1.3498312710911136</v>
      </c>
      <c r="E84">
        <v>0.69599999999999995</v>
      </c>
      <c r="F84">
        <v>0.69199999999999995</v>
      </c>
      <c r="G84">
        <v>0.70099999999999996</v>
      </c>
    </row>
    <row r="85" spans="1:7" x14ac:dyDescent="0.35">
      <c r="A85">
        <v>3.5</v>
      </c>
      <c r="B85">
        <v>0</v>
      </c>
      <c r="C85">
        <v>3.5</v>
      </c>
      <c r="D85">
        <v>1.5748031496062991</v>
      </c>
      <c r="E85">
        <v>0.45700000000000002</v>
      </c>
      <c r="F85">
        <v>0.44600000000000001</v>
      </c>
      <c r="G85">
        <v>0.46400000000000002</v>
      </c>
    </row>
    <row r="86" spans="1:7" x14ac:dyDescent="0.35">
      <c r="A86">
        <v>4</v>
      </c>
      <c r="B86">
        <v>0</v>
      </c>
      <c r="C86">
        <v>4</v>
      </c>
      <c r="D86">
        <v>1.7997750281214846</v>
      </c>
      <c r="E86">
        <v>0.25700000000000001</v>
      </c>
      <c r="F86">
        <v>0.252</v>
      </c>
      <c r="G86">
        <v>0.26200000000000001</v>
      </c>
    </row>
    <row r="87" spans="1:7" x14ac:dyDescent="0.35">
      <c r="A87">
        <v>4.5</v>
      </c>
      <c r="B87">
        <v>0</v>
      </c>
      <c r="C87">
        <v>4.5</v>
      </c>
      <c r="D87">
        <v>2.0247469066366701</v>
      </c>
      <c r="E87">
        <v>0.155</v>
      </c>
      <c r="F87">
        <v>0.152</v>
      </c>
      <c r="G87">
        <v>0.16</v>
      </c>
    </row>
    <row r="88" spans="1:7" x14ac:dyDescent="0.35">
      <c r="A88">
        <v>5</v>
      </c>
      <c r="B88">
        <v>0</v>
      </c>
      <c r="C88">
        <v>5</v>
      </c>
      <c r="D88">
        <v>2.2497187851518561</v>
      </c>
      <c r="E88">
        <v>8.8999999999999996E-2</v>
      </c>
      <c r="F88">
        <v>8.4000000000000005E-2</v>
      </c>
      <c r="G88">
        <v>9.1999999999999998E-2</v>
      </c>
    </row>
    <row r="89" spans="1:7" x14ac:dyDescent="0.35">
      <c r="A89">
        <v>5.5</v>
      </c>
      <c r="B89">
        <v>0</v>
      </c>
      <c r="C89">
        <v>5.5</v>
      </c>
      <c r="D89">
        <v>2.4746906636670416</v>
      </c>
      <c r="E89">
        <v>4.3999999999999997E-2</v>
      </c>
      <c r="F89">
        <v>4.3999999999999997E-2</v>
      </c>
      <c r="G89">
        <v>4.5999999999999999E-2</v>
      </c>
    </row>
    <row r="90" spans="1:7" x14ac:dyDescent="0.35">
      <c r="A90">
        <v>6</v>
      </c>
      <c r="B90">
        <v>0</v>
      </c>
      <c r="C90">
        <v>6</v>
      </c>
      <c r="D90">
        <v>2.6996625421822271</v>
      </c>
      <c r="E90">
        <v>2.1000000000000001E-2</v>
      </c>
      <c r="F90">
        <v>2.1000000000000001E-2</v>
      </c>
      <c r="G90">
        <v>2.1999999999999999E-2</v>
      </c>
    </row>
    <row r="91" spans="1:7" x14ac:dyDescent="0.35">
      <c r="A91">
        <v>6.5</v>
      </c>
      <c r="B91">
        <v>0</v>
      </c>
      <c r="C91">
        <v>6.5</v>
      </c>
      <c r="D91">
        <v>2.9246344206974126</v>
      </c>
      <c r="E91">
        <v>1.2E-2</v>
      </c>
      <c r="F91">
        <v>1.2E-2</v>
      </c>
      <c r="G91">
        <v>1.2999999999999999E-2</v>
      </c>
    </row>
    <row r="92" spans="1:7" x14ac:dyDescent="0.35">
      <c r="A92">
        <v>7</v>
      </c>
      <c r="B92">
        <v>0</v>
      </c>
      <c r="C92">
        <v>7</v>
      </c>
      <c r="D92">
        <v>3.1496062992125982</v>
      </c>
      <c r="E92">
        <v>1.0999999999999999E-2</v>
      </c>
    </row>
    <row r="93" spans="1:7" x14ac:dyDescent="0.35">
      <c r="A93">
        <v>7.5</v>
      </c>
      <c r="B93">
        <v>0</v>
      </c>
      <c r="C93">
        <v>7.5</v>
      </c>
      <c r="D93">
        <v>3.3745781777277837</v>
      </c>
      <c r="E93">
        <v>6.0000000000000001E-3</v>
      </c>
    </row>
    <row r="94" spans="1:7" x14ac:dyDescent="0.35">
      <c r="A94">
        <v>8</v>
      </c>
      <c r="B94">
        <v>0</v>
      </c>
      <c r="C94">
        <v>8</v>
      </c>
      <c r="D94">
        <v>3.5995500562429692</v>
      </c>
      <c r="E94">
        <v>6.0000000000000001E-3</v>
      </c>
    </row>
    <row r="95" spans="1:7" x14ac:dyDescent="0.35">
      <c r="A95">
        <v>8.5</v>
      </c>
      <c r="B95">
        <v>0</v>
      </c>
      <c r="C95">
        <v>8.5</v>
      </c>
      <c r="D95">
        <v>3.8245219347581552</v>
      </c>
      <c r="E95">
        <v>6.0000000000000001E-3</v>
      </c>
    </row>
    <row r="96" spans="1:7" x14ac:dyDescent="0.35">
      <c r="A96">
        <v>9</v>
      </c>
      <c r="B96">
        <v>0</v>
      </c>
      <c r="C96">
        <v>9</v>
      </c>
      <c r="D96">
        <v>4.0494938132733402</v>
      </c>
      <c r="E96">
        <v>4.0000000000000001E-3</v>
      </c>
    </row>
    <row r="97" spans="1:12" x14ac:dyDescent="0.35">
      <c r="A97">
        <v>9.5</v>
      </c>
      <c r="B97">
        <v>0</v>
      </c>
      <c r="C97">
        <v>9.5</v>
      </c>
      <c r="D97">
        <v>4.2744656917885262</v>
      </c>
      <c r="E97">
        <v>2E-3</v>
      </c>
    </row>
    <row r="98" spans="1:12" x14ac:dyDescent="0.35">
      <c r="A98">
        <v>10</v>
      </c>
      <c r="B98">
        <v>0</v>
      </c>
      <c r="C98">
        <v>10</v>
      </c>
      <c r="D98">
        <v>4.4994375703037122</v>
      </c>
      <c r="E98">
        <v>2E-3</v>
      </c>
    </row>
    <row r="99" spans="1:12" x14ac:dyDescent="0.35">
      <c r="A99">
        <v>10.5</v>
      </c>
      <c r="B99">
        <v>0</v>
      </c>
      <c r="C99">
        <v>10.5</v>
      </c>
      <c r="D99">
        <v>4.7244094488188972</v>
      </c>
      <c r="E99">
        <v>2E-3</v>
      </c>
    </row>
    <row r="100" spans="1:12" x14ac:dyDescent="0.35">
      <c r="A100">
        <v>11</v>
      </c>
      <c r="B100">
        <v>0</v>
      </c>
      <c r="C100">
        <v>11</v>
      </c>
      <c r="D100">
        <v>4.9493813273340832</v>
      </c>
      <c r="E100">
        <v>4.0000000000000001E-3</v>
      </c>
    </row>
    <row r="101" spans="1:12" x14ac:dyDescent="0.35">
      <c r="A101">
        <v>11.5</v>
      </c>
      <c r="B101">
        <v>0</v>
      </c>
      <c r="C101">
        <v>11.5</v>
      </c>
      <c r="D101">
        <v>5.1743532058492683</v>
      </c>
      <c r="E101">
        <v>6.0000000000000001E-3</v>
      </c>
    </row>
    <row r="102" spans="1:12" x14ac:dyDescent="0.35">
      <c r="A102" s="3" t="s">
        <v>40</v>
      </c>
      <c r="B102" s="2"/>
      <c r="C102" s="2"/>
      <c r="D102" s="2"/>
      <c r="E102" s="2"/>
      <c r="F102" s="2"/>
      <c r="G102" s="2"/>
      <c r="H102" s="2"/>
      <c r="I102" s="1" t="s">
        <v>26</v>
      </c>
      <c r="J102" s="1" t="s">
        <v>27</v>
      </c>
      <c r="K102" s="1" t="s">
        <v>22</v>
      </c>
      <c r="L102" s="1" t="s">
        <v>23</v>
      </c>
    </row>
    <row r="103" spans="1:12" x14ac:dyDescent="0.35">
      <c r="A103">
        <v>0</v>
      </c>
      <c r="B103">
        <v>0</v>
      </c>
      <c r="C103" cm="1">
        <f t="array" ref="C103:C126">SQRT((A103:A126)^2 +(B103:B126)^2)</f>
        <v>0</v>
      </c>
      <c r="D103" cm="1">
        <f t="array" ref="D103:D126">_xlfn.ANCHORARRAY(C103)/(P2 * Q2)</f>
        <v>0</v>
      </c>
      <c r="E103">
        <v>8.0000000000000002E-3</v>
      </c>
      <c r="I103">
        <v>15</v>
      </c>
      <c r="J103">
        <v>0.5</v>
      </c>
      <c r="K103">
        <v>3</v>
      </c>
      <c r="L103">
        <v>0</v>
      </c>
    </row>
    <row r="104" spans="1:12" x14ac:dyDescent="0.35">
      <c r="A104">
        <v>0.5</v>
      </c>
      <c r="B104">
        <v>0</v>
      </c>
      <c r="C104">
        <v>0.5</v>
      </c>
      <c r="D104">
        <v>0.22497187851518557</v>
      </c>
      <c r="E104">
        <v>8.0000000000000002E-3</v>
      </c>
    </row>
    <row r="105" spans="1:12" x14ac:dyDescent="0.35">
      <c r="A105">
        <v>1</v>
      </c>
      <c r="B105">
        <v>0</v>
      </c>
      <c r="C105">
        <v>1</v>
      </c>
      <c r="D105">
        <v>0.44994375703037115</v>
      </c>
      <c r="E105">
        <v>1.2999999999999999E-2</v>
      </c>
    </row>
    <row r="106" spans="1:12" x14ac:dyDescent="0.35">
      <c r="A106">
        <v>1.5</v>
      </c>
      <c r="B106">
        <v>0</v>
      </c>
      <c r="C106">
        <v>1.5</v>
      </c>
      <c r="D106">
        <v>0.67491563554555678</v>
      </c>
      <c r="E106">
        <v>2.5999999999999999E-2</v>
      </c>
    </row>
    <row r="107" spans="1:12" x14ac:dyDescent="0.35">
      <c r="A107">
        <v>2</v>
      </c>
      <c r="B107">
        <v>0</v>
      </c>
      <c r="C107">
        <v>2</v>
      </c>
      <c r="D107">
        <v>0.8998875140607423</v>
      </c>
      <c r="E107">
        <v>4.3999999999999997E-2</v>
      </c>
      <c r="F107">
        <v>4.2999999999999997E-2</v>
      </c>
      <c r="G107">
        <v>4.4999999999999998E-2</v>
      </c>
    </row>
    <row r="108" spans="1:12" x14ac:dyDescent="0.35">
      <c r="A108">
        <v>2.5</v>
      </c>
      <c r="B108">
        <v>0</v>
      </c>
      <c r="C108">
        <v>2.5</v>
      </c>
      <c r="D108">
        <v>1.124859392575928</v>
      </c>
      <c r="E108">
        <v>7.4999999999999997E-2</v>
      </c>
      <c r="F108">
        <v>7.1999999999999995E-2</v>
      </c>
      <c r="G108">
        <v>7.5999999999999998E-2</v>
      </c>
    </row>
    <row r="109" spans="1:12" x14ac:dyDescent="0.35">
      <c r="A109">
        <v>3</v>
      </c>
      <c r="B109">
        <v>0</v>
      </c>
      <c r="C109">
        <v>3</v>
      </c>
      <c r="D109">
        <v>1.3498312710911136</v>
      </c>
      <c r="E109">
        <v>0.11899999999999999</v>
      </c>
      <c r="F109">
        <v>0.11799999999999999</v>
      </c>
      <c r="G109">
        <v>0.122</v>
      </c>
    </row>
    <row r="110" spans="1:12" x14ac:dyDescent="0.35">
      <c r="A110">
        <v>3.5</v>
      </c>
      <c r="B110">
        <v>0</v>
      </c>
      <c r="C110">
        <v>3.5</v>
      </c>
      <c r="D110">
        <v>1.5748031496062991</v>
      </c>
      <c r="E110">
        <v>0.157</v>
      </c>
      <c r="F110">
        <v>0.153</v>
      </c>
      <c r="G110">
        <v>0.158</v>
      </c>
    </row>
    <row r="111" spans="1:12" x14ac:dyDescent="0.35">
      <c r="A111">
        <v>4</v>
      </c>
      <c r="B111">
        <v>0</v>
      </c>
      <c r="C111">
        <v>4</v>
      </c>
      <c r="D111">
        <v>1.7997750281214846</v>
      </c>
      <c r="E111">
        <v>0.218</v>
      </c>
      <c r="F111">
        <v>0.215</v>
      </c>
      <c r="G111">
        <v>0.222</v>
      </c>
    </row>
    <row r="112" spans="1:12" x14ac:dyDescent="0.35">
      <c r="A112">
        <v>4.5</v>
      </c>
      <c r="B112">
        <v>0</v>
      </c>
      <c r="C112">
        <v>4.5</v>
      </c>
      <c r="D112">
        <v>2.0247469066366701</v>
      </c>
      <c r="E112">
        <v>0.28299999999999997</v>
      </c>
      <c r="F112">
        <v>0.28100000000000003</v>
      </c>
      <c r="G112">
        <v>0.28699999999999998</v>
      </c>
    </row>
    <row r="113" spans="1:7" x14ac:dyDescent="0.35">
      <c r="A113">
        <v>5</v>
      </c>
      <c r="B113">
        <v>0</v>
      </c>
      <c r="C113">
        <v>5</v>
      </c>
      <c r="D113">
        <v>2.2497187851518561</v>
      </c>
      <c r="E113">
        <v>0.36299999999999999</v>
      </c>
      <c r="F113">
        <v>0.36199999999999999</v>
      </c>
      <c r="G113">
        <v>0.36799999999999999</v>
      </c>
    </row>
    <row r="114" spans="1:7" x14ac:dyDescent="0.35">
      <c r="A114">
        <v>5.5</v>
      </c>
      <c r="B114">
        <v>0</v>
      </c>
      <c r="C114">
        <v>5.5</v>
      </c>
      <c r="D114">
        <v>2.4746906636670416</v>
      </c>
      <c r="E114">
        <v>0.438</v>
      </c>
      <c r="F114">
        <v>0.437</v>
      </c>
      <c r="G114">
        <v>0.441</v>
      </c>
    </row>
    <row r="115" spans="1:7" x14ac:dyDescent="0.35">
      <c r="A115">
        <v>6</v>
      </c>
      <c r="B115">
        <v>0</v>
      </c>
      <c r="C115">
        <v>6</v>
      </c>
      <c r="D115">
        <v>2.6996625421822271</v>
      </c>
      <c r="E115">
        <v>0.5</v>
      </c>
      <c r="F115">
        <v>0.498</v>
      </c>
      <c r="G115">
        <v>0.503</v>
      </c>
    </row>
    <row r="116" spans="1:7" x14ac:dyDescent="0.35">
      <c r="A116">
        <v>6.5</v>
      </c>
      <c r="B116">
        <v>0</v>
      </c>
      <c r="C116">
        <v>6.5</v>
      </c>
      <c r="D116">
        <v>2.9246344206974126</v>
      </c>
      <c r="E116">
        <v>0.51</v>
      </c>
      <c r="F116">
        <v>0.50700000000000001</v>
      </c>
      <c r="G116">
        <v>0.51300000000000001</v>
      </c>
    </row>
    <row r="117" spans="1:7" x14ac:dyDescent="0.35">
      <c r="A117">
        <v>7</v>
      </c>
      <c r="B117">
        <v>0</v>
      </c>
      <c r="C117">
        <v>7</v>
      </c>
      <c r="D117">
        <v>3.1496062992125982</v>
      </c>
      <c r="E117">
        <v>0.46400000000000002</v>
      </c>
      <c r="F117">
        <v>0.45800000000000002</v>
      </c>
      <c r="G117">
        <v>0.47099999999999997</v>
      </c>
    </row>
    <row r="118" spans="1:7" x14ac:dyDescent="0.35">
      <c r="A118">
        <v>7.5</v>
      </c>
      <c r="B118">
        <v>0</v>
      </c>
      <c r="C118">
        <v>7.5</v>
      </c>
      <c r="D118">
        <v>3.3745781777277837</v>
      </c>
      <c r="E118">
        <v>0.38100000000000001</v>
      </c>
      <c r="F118">
        <v>0.373</v>
      </c>
      <c r="G118">
        <v>0.39400000000000002</v>
      </c>
    </row>
    <row r="119" spans="1:7" x14ac:dyDescent="0.35">
      <c r="A119">
        <v>8</v>
      </c>
      <c r="B119">
        <v>0</v>
      </c>
      <c r="C119">
        <v>8</v>
      </c>
      <c r="D119">
        <v>3.5995500562429692</v>
      </c>
      <c r="E119">
        <v>0.20399999999999999</v>
      </c>
      <c r="F119">
        <v>0.191</v>
      </c>
      <c r="G119">
        <v>0.21</v>
      </c>
    </row>
    <row r="120" spans="1:7" x14ac:dyDescent="0.35">
      <c r="A120">
        <v>8.5</v>
      </c>
      <c r="B120">
        <v>0</v>
      </c>
      <c r="C120">
        <v>8.5</v>
      </c>
      <c r="D120">
        <v>3.8245219347581552</v>
      </c>
      <c r="E120">
        <v>8.1000000000000003E-2</v>
      </c>
      <c r="F120">
        <v>7.5999999999999998E-2</v>
      </c>
      <c r="G120">
        <v>9.0999999999999998E-2</v>
      </c>
    </row>
    <row r="121" spans="1:7" x14ac:dyDescent="0.35">
      <c r="A121">
        <v>9</v>
      </c>
      <c r="B121">
        <v>0</v>
      </c>
      <c r="C121">
        <v>9</v>
      </c>
      <c r="D121">
        <v>4.0494938132733402</v>
      </c>
      <c r="E121">
        <v>2.5999999999999999E-2</v>
      </c>
      <c r="F121">
        <v>2.1000000000000001E-2</v>
      </c>
      <c r="G121">
        <v>3.6999999999999998E-2</v>
      </c>
    </row>
    <row r="122" spans="1:7" x14ac:dyDescent="0.35">
      <c r="A122">
        <v>9.5</v>
      </c>
      <c r="B122">
        <v>0</v>
      </c>
      <c r="C122">
        <v>9.5</v>
      </c>
      <c r="D122">
        <v>4.2744656917885262</v>
      </c>
      <c r="E122">
        <v>0.1</v>
      </c>
      <c r="F122">
        <v>9.7000000000000003E-2</v>
      </c>
      <c r="G122">
        <v>0.10199999999999999</v>
      </c>
    </row>
    <row r="123" spans="1:7" x14ac:dyDescent="0.35">
      <c r="A123">
        <v>10</v>
      </c>
      <c r="B123">
        <v>0</v>
      </c>
      <c r="C123">
        <v>10</v>
      </c>
      <c r="D123">
        <v>4.4994375703037122</v>
      </c>
      <c r="E123">
        <v>0.27700000000000002</v>
      </c>
      <c r="F123">
        <v>0.27500000000000002</v>
      </c>
      <c r="G123">
        <v>0.28000000000000003</v>
      </c>
    </row>
    <row r="124" spans="1:7" x14ac:dyDescent="0.35">
      <c r="A124">
        <v>10.5</v>
      </c>
      <c r="B124">
        <v>0</v>
      </c>
      <c r="C124">
        <v>10.5</v>
      </c>
      <c r="D124">
        <v>4.7244094488188972</v>
      </c>
      <c r="E124">
        <v>0.504</v>
      </c>
      <c r="F124">
        <v>0.49299999999999999</v>
      </c>
      <c r="G124">
        <v>0.51</v>
      </c>
    </row>
    <row r="125" spans="1:7" x14ac:dyDescent="0.35">
      <c r="A125">
        <v>11</v>
      </c>
      <c r="B125">
        <v>0</v>
      </c>
      <c r="C125">
        <v>11</v>
      </c>
      <c r="D125">
        <v>4.9493813273340832</v>
      </c>
      <c r="E125">
        <v>0.70799999999999996</v>
      </c>
      <c r="F125">
        <v>0.69899999999999995</v>
      </c>
      <c r="G125">
        <v>0.71</v>
      </c>
    </row>
    <row r="126" spans="1:7" x14ac:dyDescent="0.35">
      <c r="A126">
        <v>11.5</v>
      </c>
      <c r="B126">
        <v>0</v>
      </c>
      <c r="C126">
        <v>11.5</v>
      </c>
      <c r="D126">
        <v>5.1743532058492683</v>
      </c>
      <c r="E126">
        <v>0.76400000000000001</v>
      </c>
      <c r="F126">
        <v>0.76</v>
      </c>
      <c r="G126">
        <v>0.77300000000000002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24FE0-83B0-4328-84F5-C3CC1BB49DDB}">
  <dimension ref="A1:Q76"/>
  <sheetViews>
    <sheetView workbookViewId="0">
      <selection activeCell="E62" sqref="E62"/>
    </sheetView>
  </sheetViews>
  <sheetFormatPr defaultRowHeight="14.5" x14ac:dyDescent="0.35"/>
  <cols>
    <col min="4" max="4" width="18.36328125" customWidth="1"/>
    <col min="6" max="6" width="14.36328125" customWidth="1"/>
    <col min="7" max="7" width="14" customWidth="1"/>
    <col min="8" max="8" width="30.36328125" customWidth="1"/>
  </cols>
  <sheetData>
    <row r="1" spans="1:17" x14ac:dyDescent="0.35">
      <c r="A1" s="1" t="s">
        <v>0</v>
      </c>
      <c r="B1" s="1" t="s">
        <v>1</v>
      </c>
      <c r="C1" s="1" t="s">
        <v>42</v>
      </c>
      <c r="D1" s="1" t="s">
        <v>41</v>
      </c>
      <c r="E1" s="1" t="s">
        <v>2</v>
      </c>
      <c r="F1" s="1" t="s">
        <v>24</v>
      </c>
      <c r="G1" s="1" t="s">
        <v>25</v>
      </c>
      <c r="H1" s="1" t="s">
        <v>3</v>
      </c>
      <c r="P1" s="1" t="s">
        <v>43</v>
      </c>
      <c r="Q1" s="1" t="s">
        <v>44</v>
      </c>
    </row>
    <row r="2" spans="1:17" x14ac:dyDescent="0.35">
      <c r="A2" s="3" t="s">
        <v>28</v>
      </c>
      <c r="B2" s="2"/>
      <c r="C2" s="2"/>
      <c r="D2" s="2"/>
      <c r="E2" s="2"/>
      <c r="F2" s="2"/>
      <c r="G2" s="2"/>
      <c r="H2" s="2"/>
      <c r="I2" s="1" t="s">
        <v>26</v>
      </c>
      <c r="J2" s="1" t="s">
        <v>27</v>
      </c>
      <c r="K2" s="1" t="s">
        <v>22</v>
      </c>
      <c r="L2" s="1" t="s">
        <v>23</v>
      </c>
      <c r="P2">
        <v>3.5</v>
      </c>
      <c r="Q2">
        <f>635/1000</f>
        <v>0.63500000000000001</v>
      </c>
    </row>
    <row r="3" spans="1:17" x14ac:dyDescent="0.35">
      <c r="A3">
        <v>0</v>
      </c>
      <c r="B3">
        <v>0</v>
      </c>
      <c r="C3" cm="1">
        <f t="array" ref="C3:C26">SQRT((A3:A26)^2 +(B3:B26)^2)</f>
        <v>0</v>
      </c>
      <c r="D3" cm="1">
        <f t="array" ref="D3:D26">_xlfn.ANCHORARRAY(C3)/(P2 * Q2)</f>
        <v>0</v>
      </c>
      <c r="E3">
        <v>2.1999999999999999E-2</v>
      </c>
      <c r="F3">
        <v>2.1000000000000001E-2</v>
      </c>
      <c r="G3">
        <v>2.4E-2</v>
      </c>
      <c r="I3">
        <v>13</v>
      </c>
      <c r="J3">
        <v>-0.5</v>
      </c>
      <c r="K3">
        <v>4.5</v>
      </c>
      <c r="L3">
        <v>0</v>
      </c>
    </row>
    <row r="4" spans="1:17" x14ac:dyDescent="0.35">
      <c r="A4">
        <v>0.5</v>
      </c>
      <c r="B4">
        <v>0</v>
      </c>
      <c r="C4">
        <v>0.5</v>
      </c>
      <c r="D4">
        <v>0.22497187851518557</v>
      </c>
      <c r="E4">
        <v>0.115</v>
      </c>
      <c r="F4">
        <v>0.111</v>
      </c>
      <c r="G4">
        <v>0.11899999999999999</v>
      </c>
    </row>
    <row r="5" spans="1:17" x14ac:dyDescent="0.35">
      <c r="A5">
        <v>1</v>
      </c>
      <c r="B5">
        <v>0</v>
      </c>
      <c r="C5">
        <v>1</v>
      </c>
      <c r="D5">
        <v>0.44994375703037115</v>
      </c>
      <c r="E5">
        <v>0.24099999999999999</v>
      </c>
      <c r="F5">
        <v>0.23599999999999999</v>
      </c>
      <c r="G5">
        <v>0.24399999999999999</v>
      </c>
    </row>
    <row r="6" spans="1:17" x14ac:dyDescent="0.35">
      <c r="A6">
        <v>1.5</v>
      </c>
      <c r="B6">
        <v>0</v>
      </c>
      <c r="C6">
        <v>1.5</v>
      </c>
      <c r="D6">
        <v>0.67491563554555678</v>
      </c>
      <c r="E6">
        <v>0.36</v>
      </c>
      <c r="F6">
        <v>0.35899999999999999</v>
      </c>
      <c r="G6">
        <v>0.36299999999999999</v>
      </c>
    </row>
    <row r="7" spans="1:17" x14ac:dyDescent="0.35">
      <c r="A7">
        <v>2</v>
      </c>
      <c r="B7">
        <v>0</v>
      </c>
      <c r="C7">
        <v>2</v>
      </c>
      <c r="D7">
        <v>0.8998875140607423</v>
      </c>
      <c r="E7">
        <v>0.42799999999999999</v>
      </c>
      <c r="F7">
        <v>0.41899999999999998</v>
      </c>
      <c r="G7">
        <v>0.432</v>
      </c>
    </row>
    <row r="8" spans="1:17" x14ac:dyDescent="0.35">
      <c r="A8">
        <v>2.5</v>
      </c>
      <c r="B8">
        <v>0</v>
      </c>
      <c r="C8">
        <v>2.5</v>
      </c>
      <c r="D8">
        <v>1.124859392575928</v>
      </c>
      <c r="E8">
        <v>0.44400000000000001</v>
      </c>
      <c r="F8">
        <v>0.441</v>
      </c>
      <c r="G8">
        <v>0.44600000000000001</v>
      </c>
    </row>
    <row r="9" spans="1:17" x14ac:dyDescent="0.35">
      <c r="A9">
        <v>3</v>
      </c>
      <c r="B9">
        <v>0</v>
      </c>
      <c r="C9">
        <v>3</v>
      </c>
      <c r="D9">
        <v>1.3498312710911136</v>
      </c>
      <c r="E9">
        <v>0.42399999999999999</v>
      </c>
      <c r="F9">
        <v>0.42099999999999999</v>
      </c>
      <c r="G9">
        <v>0.42599999999999999</v>
      </c>
    </row>
    <row r="10" spans="1:17" x14ac:dyDescent="0.35">
      <c r="A10">
        <v>3.5</v>
      </c>
      <c r="B10">
        <v>0</v>
      </c>
      <c r="C10">
        <v>3.5</v>
      </c>
      <c r="D10">
        <v>1.5748031496062991</v>
      </c>
      <c r="E10">
        <v>0.38300000000000001</v>
      </c>
      <c r="F10">
        <v>0.38100000000000001</v>
      </c>
      <c r="G10">
        <v>0.38400000000000001</v>
      </c>
    </row>
    <row r="11" spans="1:17" x14ac:dyDescent="0.35">
      <c r="A11">
        <v>4</v>
      </c>
      <c r="B11">
        <v>0</v>
      </c>
      <c r="C11">
        <v>4</v>
      </c>
      <c r="D11">
        <v>1.7997750281214846</v>
      </c>
      <c r="E11">
        <v>0.315</v>
      </c>
      <c r="F11">
        <v>0.314</v>
      </c>
      <c r="G11">
        <v>0.316</v>
      </c>
    </row>
    <row r="12" spans="1:17" x14ac:dyDescent="0.35">
      <c r="A12">
        <v>4.5</v>
      </c>
      <c r="B12">
        <v>0</v>
      </c>
      <c r="C12">
        <v>4.5</v>
      </c>
      <c r="D12">
        <v>2.0247469066366701</v>
      </c>
      <c r="E12">
        <v>0.254</v>
      </c>
      <c r="F12">
        <v>0.253</v>
      </c>
      <c r="G12">
        <v>0.255</v>
      </c>
    </row>
    <row r="13" spans="1:17" x14ac:dyDescent="0.35">
      <c r="A13">
        <v>5</v>
      </c>
      <c r="B13">
        <v>0</v>
      </c>
      <c r="C13">
        <v>5</v>
      </c>
      <c r="D13">
        <v>2.2497187851518561</v>
      </c>
      <c r="E13">
        <v>0.184</v>
      </c>
      <c r="F13">
        <v>0.182</v>
      </c>
      <c r="G13">
        <v>0.184</v>
      </c>
    </row>
    <row r="14" spans="1:17" x14ac:dyDescent="0.35">
      <c r="A14">
        <v>5.5</v>
      </c>
      <c r="B14">
        <v>0</v>
      </c>
      <c r="C14">
        <v>5.5</v>
      </c>
      <c r="D14">
        <v>2.4746906636670416</v>
      </c>
      <c r="E14">
        <v>0.123</v>
      </c>
      <c r="F14">
        <v>0.121</v>
      </c>
      <c r="G14">
        <v>0.127</v>
      </c>
    </row>
    <row r="15" spans="1:17" x14ac:dyDescent="0.35">
      <c r="A15">
        <v>6</v>
      </c>
      <c r="B15">
        <v>0</v>
      </c>
      <c r="C15">
        <v>6</v>
      </c>
      <c r="D15">
        <v>2.6996625421822271</v>
      </c>
      <c r="E15">
        <v>8.7999999999999995E-2</v>
      </c>
      <c r="F15">
        <v>8.6999999999999994E-2</v>
      </c>
      <c r="G15">
        <v>0.09</v>
      </c>
    </row>
    <row r="16" spans="1:17" x14ac:dyDescent="0.35">
      <c r="A16">
        <v>6.5</v>
      </c>
      <c r="B16">
        <v>0</v>
      </c>
      <c r="C16">
        <v>6.5</v>
      </c>
      <c r="D16">
        <v>2.9246344206974126</v>
      </c>
      <c r="E16">
        <v>4.4999999999999998E-2</v>
      </c>
      <c r="F16">
        <v>4.3999999999999997E-2</v>
      </c>
      <c r="G16">
        <v>4.4999999999999998E-2</v>
      </c>
    </row>
    <row r="17" spans="1:12" x14ac:dyDescent="0.35">
      <c r="A17">
        <v>7</v>
      </c>
      <c r="B17">
        <v>0</v>
      </c>
      <c r="C17">
        <v>7</v>
      </c>
      <c r="D17">
        <v>3.1496062992125982</v>
      </c>
      <c r="E17">
        <v>0.03</v>
      </c>
      <c r="F17">
        <v>0.03</v>
      </c>
      <c r="G17">
        <v>3.1E-2</v>
      </c>
    </row>
    <row r="18" spans="1:12" x14ac:dyDescent="0.35">
      <c r="A18">
        <v>7.5</v>
      </c>
      <c r="B18">
        <v>0</v>
      </c>
      <c r="C18">
        <v>7.5</v>
      </c>
      <c r="D18">
        <v>3.3745781777277837</v>
      </c>
      <c r="E18">
        <v>1.4999999999999999E-2</v>
      </c>
    </row>
    <row r="19" spans="1:12" x14ac:dyDescent="0.35">
      <c r="A19">
        <v>8</v>
      </c>
      <c r="B19">
        <v>0</v>
      </c>
      <c r="C19">
        <v>8</v>
      </c>
      <c r="D19">
        <v>3.5995500562429692</v>
      </c>
      <c r="E19">
        <v>8.0000000000000002E-3</v>
      </c>
    </row>
    <row r="20" spans="1:12" x14ac:dyDescent="0.35">
      <c r="A20">
        <v>8.5</v>
      </c>
      <c r="B20">
        <v>0</v>
      </c>
      <c r="C20">
        <v>8.5</v>
      </c>
      <c r="D20">
        <v>3.8245219347581552</v>
      </c>
      <c r="E20">
        <v>4.0000000000000001E-3</v>
      </c>
    </row>
    <row r="21" spans="1:12" x14ac:dyDescent="0.35">
      <c r="A21">
        <v>9</v>
      </c>
      <c r="B21">
        <v>0</v>
      </c>
      <c r="C21">
        <v>9</v>
      </c>
      <c r="D21">
        <v>4.0494938132733402</v>
      </c>
      <c r="E21">
        <v>4.0000000000000001E-3</v>
      </c>
    </row>
    <row r="22" spans="1:12" x14ac:dyDescent="0.35">
      <c r="A22">
        <v>9.5</v>
      </c>
      <c r="B22">
        <v>0</v>
      </c>
      <c r="C22">
        <v>9.5</v>
      </c>
      <c r="D22">
        <v>4.2744656917885262</v>
      </c>
      <c r="E22">
        <v>5.0000000000000001E-3</v>
      </c>
    </row>
    <row r="23" spans="1:12" x14ac:dyDescent="0.35">
      <c r="A23">
        <v>10</v>
      </c>
      <c r="B23">
        <v>0</v>
      </c>
      <c r="C23">
        <v>10</v>
      </c>
      <c r="D23">
        <v>4.4994375703037122</v>
      </c>
      <c r="E23">
        <v>8.9999999999999993E-3</v>
      </c>
    </row>
    <row r="24" spans="1:12" x14ac:dyDescent="0.35">
      <c r="A24">
        <v>10.5</v>
      </c>
      <c r="B24">
        <v>0</v>
      </c>
      <c r="C24">
        <v>10.5</v>
      </c>
      <c r="D24">
        <v>4.7244094488188972</v>
      </c>
      <c r="E24">
        <v>1.0999999999999999E-2</v>
      </c>
    </row>
    <row r="25" spans="1:12" x14ac:dyDescent="0.35">
      <c r="A25">
        <v>11</v>
      </c>
      <c r="B25">
        <v>0</v>
      </c>
      <c r="C25">
        <v>11</v>
      </c>
      <c r="D25">
        <v>4.9493813273340832</v>
      </c>
      <c r="E25">
        <v>1.2999999999999999E-2</v>
      </c>
    </row>
    <row r="26" spans="1:12" x14ac:dyDescent="0.35">
      <c r="A26">
        <v>11.5</v>
      </c>
      <c r="B26">
        <v>0</v>
      </c>
      <c r="C26">
        <v>11.5</v>
      </c>
      <c r="D26">
        <v>5.1743532058492683</v>
      </c>
      <c r="E26">
        <v>1.6E-2</v>
      </c>
    </row>
    <row r="27" spans="1:12" x14ac:dyDescent="0.35">
      <c r="A27" s="3" t="s">
        <v>34</v>
      </c>
      <c r="B27" s="2"/>
      <c r="C27" s="2"/>
      <c r="D27" s="2"/>
      <c r="E27" s="2"/>
      <c r="F27" s="2"/>
      <c r="G27" s="2"/>
      <c r="H27" s="2"/>
      <c r="I27" s="1" t="s">
        <v>26</v>
      </c>
      <c r="J27" s="1" t="s">
        <v>27</v>
      </c>
      <c r="K27" s="1" t="s">
        <v>22</v>
      </c>
      <c r="L27" s="1" t="s">
        <v>23</v>
      </c>
    </row>
    <row r="28" spans="1:12" x14ac:dyDescent="0.35">
      <c r="A28">
        <v>0</v>
      </c>
      <c r="B28">
        <v>0</v>
      </c>
      <c r="C28" cm="1">
        <f t="array" ref="C28:C51">SQRT((A28:A51)^2 +(B28:B51)^2)</f>
        <v>0</v>
      </c>
      <c r="D28" cm="1">
        <f t="array" ref="D28:D51">_xlfn.ANCHORARRAY(C28)/(P2 * Q2)</f>
        <v>0</v>
      </c>
      <c r="E28">
        <v>1.4999999999999999E-2</v>
      </c>
      <c r="I28">
        <v>11.5</v>
      </c>
      <c r="J28">
        <v>-0.5</v>
      </c>
      <c r="K28">
        <v>4.5</v>
      </c>
      <c r="L28">
        <v>0</v>
      </c>
    </row>
    <row r="29" spans="1:12" x14ac:dyDescent="0.35">
      <c r="A29">
        <v>0.5</v>
      </c>
      <c r="B29">
        <v>0</v>
      </c>
      <c r="C29">
        <v>0.5</v>
      </c>
      <c r="D29">
        <v>0.22497187851518557</v>
      </c>
      <c r="E29">
        <v>0.06</v>
      </c>
      <c r="F29">
        <v>5.7000000000000002E-2</v>
      </c>
      <c r="G29">
        <v>6.3E-2</v>
      </c>
    </row>
    <row r="30" spans="1:12" x14ac:dyDescent="0.35">
      <c r="A30">
        <v>1</v>
      </c>
      <c r="B30">
        <v>0</v>
      </c>
      <c r="C30">
        <v>1</v>
      </c>
      <c r="D30">
        <v>0.44994375703037115</v>
      </c>
      <c r="E30">
        <v>0.20399999999999999</v>
      </c>
      <c r="F30">
        <v>0.19800000000000001</v>
      </c>
      <c r="G30">
        <v>0.21</v>
      </c>
    </row>
    <row r="31" spans="1:12" x14ac:dyDescent="0.35">
      <c r="A31">
        <v>1.5</v>
      </c>
      <c r="B31">
        <v>0</v>
      </c>
      <c r="C31">
        <v>1.5</v>
      </c>
      <c r="D31">
        <v>0.67491563554555678</v>
      </c>
      <c r="E31">
        <v>0.3</v>
      </c>
      <c r="F31">
        <v>0.28999999999999998</v>
      </c>
      <c r="G31">
        <v>0.30299999999999999</v>
      </c>
    </row>
    <row r="32" spans="1:12" x14ac:dyDescent="0.35">
      <c r="A32">
        <v>2</v>
      </c>
      <c r="B32">
        <v>0</v>
      </c>
      <c r="C32">
        <v>2</v>
      </c>
      <c r="D32">
        <v>0.8998875140607423</v>
      </c>
      <c r="E32">
        <v>0.41099999999999998</v>
      </c>
      <c r="F32">
        <v>0.40100000000000002</v>
      </c>
      <c r="G32">
        <v>0.41399999999999998</v>
      </c>
    </row>
    <row r="33" spans="1:7" x14ac:dyDescent="0.35">
      <c r="A33">
        <v>2.5</v>
      </c>
      <c r="B33">
        <v>0</v>
      </c>
      <c r="C33">
        <v>2.5</v>
      </c>
      <c r="D33">
        <v>1.124859392575928</v>
      </c>
      <c r="E33">
        <v>0.42699999999999999</v>
      </c>
      <c r="F33">
        <v>0.43099999999999999</v>
      </c>
      <c r="G33">
        <v>0.42399999999999999</v>
      </c>
    </row>
    <row r="34" spans="1:7" x14ac:dyDescent="0.35">
      <c r="A34">
        <v>3</v>
      </c>
      <c r="B34">
        <v>0</v>
      </c>
      <c r="C34">
        <v>3</v>
      </c>
      <c r="D34">
        <v>1.3498312710911136</v>
      </c>
      <c r="E34">
        <v>0.433</v>
      </c>
      <c r="F34">
        <v>0.43</v>
      </c>
      <c r="G34">
        <v>0.438</v>
      </c>
    </row>
    <row r="35" spans="1:7" x14ac:dyDescent="0.35">
      <c r="A35">
        <v>3.5</v>
      </c>
      <c r="B35">
        <v>0</v>
      </c>
      <c r="C35">
        <v>3.5</v>
      </c>
      <c r="D35">
        <v>1.5748031496062991</v>
      </c>
      <c r="E35">
        <v>0.40899999999999997</v>
      </c>
      <c r="F35">
        <v>0.40799999999999997</v>
      </c>
      <c r="G35">
        <v>0.41</v>
      </c>
    </row>
    <row r="36" spans="1:7" x14ac:dyDescent="0.35">
      <c r="A36">
        <v>4</v>
      </c>
      <c r="B36">
        <v>0</v>
      </c>
      <c r="C36">
        <v>4</v>
      </c>
      <c r="D36">
        <v>1.7997750281214846</v>
      </c>
      <c r="E36">
        <v>0.36299999999999999</v>
      </c>
      <c r="F36">
        <v>0.36099999999999999</v>
      </c>
      <c r="G36">
        <v>0.36599999999999999</v>
      </c>
    </row>
    <row r="37" spans="1:7" x14ac:dyDescent="0.35">
      <c r="A37">
        <v>4.5</v>
      </c>
      <c r="B37">
        <v>0</v>
      </c>
      <c r="C37">
        <v>4.5</v>
      </c>
      <c r="D37">
        <v>2.0247469066366701</v>
      </c>
      <c r="E37">
        <v>0.30399999999999999</v>
      </c>
      <c r="F37">
        <v>0.29799999999999999</v>
      </c>
      <c r="G37">
        <v>0.307</v>
      </c>
    </row>
    <row r="38" spans="1:7" x14ac:dyDescent="0.35">
      <c r="A38">
        <v>5</v>
      </c>
      <c r="B38">
        <v>0</v>
      </c>
      <c r="C38">
        <v>5</v>
      </c>
      <c r="D38">
        <v>2.2497187851518561</v>
      </c>
      <c r="E38">
        <v>0.22500000000000001</v>
      </c>
      <c r="F38">
        <v>0.224</v>
      </c>
      <c r="G38">
        <v>0.22700000000000001</v>
      </c>
    </row>
    <row r="39" spans="1:7" x14ac:dyDescent="0.35">
      <c r="A39">
        <v>5.5</v>
      </c>
      <c r="B39">
        <v>0</v>
      </c>
      <c r="C39">
        <v>5.5</v>
      </c>
      <c r="D39">
        <v>2.4746906636670416</v>
      </c>
      <c r="E39">
        <v>0.16700000000000001</v>
      </c>
      <c r="F39">
        <v>0.16500000000000001</v>
      </c>
      <c r="G39">
        <v>0.16800000000000001</v>
      </c>
    </row>
    <row r="40" spans="1:7" x14ac:dyDescent="0.35">
      <c r="A40">
        <v>6</v>
      </c>
      <c r="B40">
        <v>0</v>
      </c>
      <c r="C40">
        <v>6</v>
      </c>
      <c r="D40">
        <v>2.6996625421822271</v>
      </c>
    </row>
    <row r="41" spans="1:7" x14ac:dyDescent="0.35">
      <c r="A41">
        <v>6.5</v>
      </c>
      <c r="B41">
        <v>0</v>
      </c>
      <c r="C41">
        <v>6.5</v>
      </c>
      <c r="D41">
        <v>2.9246344206974126</v>
      </c>
    </row>
    <row r="42" spans="1:7" x14ac:dyDescent="0.35">
      <c r="A42">
        <v>7</v>
      </c>
      <c r="B42">
        <v>0</v>
      </c>
      <c r="C42">
        <v>7</v>
      </c>
      <c r="D42">
        <v>3.1496062992125982</v>
      </c>
    </row>
    <row r="43" spans="1:7" x14ac:dyDescent="0.35">
      <c r="A43">
        <v>7.5</v>
      </c>
      <c r="B43">
        <v>0</v>
      </c>
      <c r="C43">
        <v>7.5</v>
      </c>
      <c r="D43">
        <v>3.3745781777277837</v>
      </c>
    </row>
    <row r="44" spans="1:7" x14ac:dyDescent="0.35">
      <c r="A44">
        <v>8</v>
      </c>
      <c r="B44">
        <v>0</v>
      </c>
      <c r="C44">
        <v>8</v>
      </c>
      <c r="D44">
        <v>3.5995500562429692</v>
      </c>
    </row>
    <row r="45" spans="1:7" x14ac:dyDescent="0.35">
      <c r="A45">
        <v>8.5</v>
      </c>
      <c r="B45">
        <v>0</v>
      </c>
      <c r="C45">
        <v>8.5</v>
      </c>
      <c r="D45">
        <v>3.8245219347581552</v>
      </c>
    </row>
    <row r="46" spans="1:7" x14ac:dyDescent="0.35">
      <c r="A46">
        <v>9</v>
      </c>
      <c r="B46">
        <v>0</v>
      </c>
      <c r="C46">
        <v>9</v>
      </c>
      <c r="D46">
        <v>4.0494938132733402</v>
      </c>
    </row>
    <row r="47" spans="1:7" x14ac:dyDescent="0.35">
      <c r="A47">
        <v>9.5</v>
      </c>
      <c r="B47">
        <v>0</v>
      </c>
      <c r="C47">
        <v>9.5</v>
      </c>
      <c r="D47">
        <v>4.2744656917885262</v>
      </c>
    </row>
    <row r="48" spans="1:7" x14ac:dyDescent="0.35">
      <c r="A48">
        <v>10</v>
      </c>
      <c r="B48">
        <v>0</v>
      </c>
      <c r="C48">
        <v>10</v>
      </c>
      <c r="D48">
        <v>4.4994375703037122</v>
      </c>
    </row>
    <row r="49" spans="1:12" x14ac:dyDescent="0.35">
      <c r="A49">
        <v>10.5</v>
      </c>
      <c r="B49">
        <v>0</v>
      </c>
      <c r="C49">
        <v>10.5</v>
      </c>
      <c r="D49">
        <v>4.7244094488188972</v>
      </c>
    </row>
    <row r="50" spans="1:12" x14ac:dyDescent="0.35">
      <c r="A50">
        <v>11</v>
      </c>
      <c r="B50">
        <v>0</v>
      </c>
      <c r="C50">
        <v>11</v>
      </c>
      <c r="D50">
        <v>4.9493813273340832</v>
      </c>
    </row>
    <row r="51" spans="1:12" x14ac:dyDescent="0.35">
      <c r="A51">
        <v>11.5</v>
      </c>
      <c r="B51">
        <v>0</v>
      </c>
      <c r="C51">
        <v>11.5</v>
      </c>
      <c r="D51">
        <v>5.1743532058492683</v>
      </c>
    </row>
    <row r="52" spans="1:12" x14ac:dyDescent="0.35">
      <c r="A52" s="3" t="s">
        <v>37</v>
      </c>
      <c r="B52" s="2"/>
      <c r="C52" s="2"/>
      <c r="D52" s="2"/>
      <c r="E52" s="2"/>
      <c r="F52" s="2"/>
      <c r="G52" s="2"/>
      <c r="H52" s="2"/>
      <c r="I52" s="1" t="s">
        <v>26</v>
      </c>
      <c r="J52" s="1" t="s">
        <v>27</v>
      </c>
      <c r="K52" s="1" t="s">
        <v>22</v>
      </c>
      <c r="L52" s="1" t="s">
        <v>23</v>
      </c>
    </row>
    <row r="53" spans="1:12" x14ac:dyDescent="0.35">
      <c r="A53">
        <v>0</v>
      </c>
      <c r="B53">
        <v>0</v>
      </c>
      <c r="C53" cm="1">
        <f t="array" ref="C53:C76">SQRT((A53:A76)^2 +(B53:B76)^2)</f>
        <v>0</v>
      </c>
      <c r="D53" cm="1">
        <f t="array" ref="D53:D76">_xlfn.ANCHORARRAY(C53)/(P2 * Q2)</f>
        <v>0</v>
      </c>
      <c r="E53">
        <v>2.5000000000000001E-2</v>
      </c>
      <c r="F53">
        <v>2.1000000000000001E-2</v>
      </c>
      <c r="G53">
        <v>2.9000000000000001E-2</v>
      </c>
      <c r="I53">
        <v>11</v>
      </c>
      <c r="J53">
        <v>-0.5</v>
      </c>
      <c r="K53">
        <v>4.5</v>
      </c>
      <c r="L53">
        <v>0</v>
      </c>
    </row>
    <row r="54" spans="1:12" x14ac:dyDescent="0.35">
      <c r="A54">
        <v>0.5</v>
      </c>
      <c r="B54">
        <v>0</v>
      </c>
      <c r="C54">
        <v>0.5</v>
      </c>
      <c r="D54">
        <v>0.22497187851518557</v>
      </c>
      <c r="E54">
        <v>0.17100000000000001</v>
      </c>
      <c r="F54">
        <v>0.16700000000000001</v>
      </c>
      <c r="G54">
        <v>0.17599999999999999</v>
      </c>
    </row>
    <row r="55" spans="1:12" x14ac:dyDescent="0.35">
      <c r="A55">
        <v>1</v>
      </c>
      <c r="B55">
        <v>0</v>
      </c>
      <c r="C55">
        <v>1</v>
      </c>
      <c r="D55">
        <v>0.44994375703037115</v>
      </c>
      <c r="E55">
        <v>0.28799999999999998</v>
      </c>
      <c r="F55">
        <v>0.28000000000000003</v>
      </c>
      <c r="G55">
        <v>0.28899999999999998</v>
      </c>
    </row>
    <row r="56" spans="1:12" x14ac:dyDescent="0.35">
      <c r="A56">
        <v>1.5</v>
      </c>
      <c r="B56">
        <v>0</v>
      </c>
      <c r="C56">
        <v>1.5</v>
      </c>
      <c r="D56">
        <v>0.67491563554555678</v>
      </c>
      <c r="E56">
        <v>0.372</v>
      </c>
      <c r="F56">
        <v>0.36899999999999999</v>
      </c>
      <c r="G56">
        <v>0.38200000000000001</v>
      </c>
    </row>
    <row r="57" spans="1:12" x14ac:dyDescent="0.35">
      <c r="A57">
        <v>2</v>
      </c>
      <c r="B57">
        <v>0</v>
      </c>
      <c r="C57">
        <v>2</v>
      </c>
      <c r="D57">
        <v>0.8998875140607423</v>
      </c>
      <c r="E57">
        <v>0.42099999999999999</v>
      </c>
      <c r="F57">
        <v>0.41799999999999998</v>
      </c>
      <c r="G57">
        <v>0.42899999999999999</v>
      </c>
    </row>
    <row r="58" spans="1:12" x14ac:dyDescent="0.35">
      <c r="A58">
        <v>2.5</v>
      </c>
      <c r="B58">
        <v>0</v>
      </c>
      <c r="C58">
        <v>2.5</v>
      </c>
      <c r="D58">
        <v>1.124859392575928</v>
      </c>
      <c r="E58">
        <v>0.41799999999999998</v>
      </c>
      <c r="F58">
        <v>0.41599999999999998</v>
      </c>
      <c r="G58">
        <v>0.42199999999999999</v>
      </c>
    </row>
    <row r="59" spans="1:12" x14ac:dyDescent="0.35">
      <c r="A59">
        <v>3</v>
      </c>
      <c r="B59">
        <v>0</v>
      </c>
      <c r="C59">
        <v>3</v>
      </c>
      <c r="D59">
        <v>1.3498312710911136</v>
      </c>
      <c r="E59">
        <v>0.39300000000000002</v>
      </c>
      <c r="F59">
        <v>0.39200000000000002</v>
      </c>
      <c r="G59">
        <v>0.39400000000000002</v>
      </c>
    </row>
    <row r="60" spans="1:12" x14ac:dyDescent="0.35">
      <c r="A60">
        <v>3.5</v>
      </c>
      <c r="B60">
        <v>0</v>
      </c>
      <c r="C60">
        <v>3.5</v>
      </c>
      <c r="D60">
        <v>1.5748031496062991</v>
      </c>
      <c r="E60">
        <v>0.33</v>
      </c>
      <c r="F60">
        <v>0.32900000000000001</v>
      </c>
      <c r="G60">
        <v>0.33</v>
      </c>
    </row>
    <row r="61" spans="1:12" x14ac:dyDescent="0.35">
      <c r="A61">
        <v>4</v>
      </c>
      <c r="B61">
        <v>0</v>
      </c>
      <c r="C61">
        <v>4</v>
      </c>
      <c r="D61">
        <v>1.7997750281214846</v>
      </c>
      <c r="E61">
        <v>0.27100000000000002</v>
      </c>
      <c r="F61">
        <v>0.26800000000000002</v>
      </c>
      <c r="G61">
        <v>0.27200000000000002</v>
      </c>
    </row>
    <row r="62" spans="1:12" x14ac:dyDescent="0.35">
      <c r="A62">
        <v>4.5</v>
      </c>
      <c r="B62">
        <v>0</v>
      </c>
      <c r="C62">
        <v>4.5</v>
      </c>
      <c r="D62">
        <v>2.0247469066366701</v>
      </c>
    </row>
    <row r="63" spans="1:12" x14ac:dyDescent="0.35">
      <c r="A63">
        <v>5</v>
      </c>
      <c r="B63">
        <v>0</v>
      </c>
      <c r="C63">
        <v>5</v>
      </c>
      <c r="D63">
        <v>2.2497187851518561</v>
      </c>
    </row>
    <row r="64" spans="1:12" x14ac:dyDescent="0.35">
      <c r="A64">
        <v>5.5</v>
      </c>
      <c r="B64">
        <v>0</v>
      </c>
      <c r="C64">
        <v>5.5</v>
      </c>
      <c r="D64">
        <v>2.4746906636670416</v>
      </c>
    </row>
    <row r="65" spans="1:4" x14ac:dyDescent="0.35">
      <c r="A65">
        <v>6</v>
      </c>
      <c r="B65">
        <v>0</v>
      </c>
      <c r="C65">
        <v>6</v>
      </c>
      <c r="D65">
        <v>2.6996625421822271</v>
      </c>
    </row>
    <row r="66" spans="1:4" x14ac:dyDescent="0.35">
      <c r="A66">
        <v>6.5</v>
      </c>
      <c r="B66">
        <v>0</v>
      </c>
      <c r="C66">
        <v>6.5</v>
      </c>
      <c r="D66">
        <v>2.9246344206974126</v>
      </c>
    </row>
    <row r="67" spans="1:4" x14ac:dyDescent="0.35">
      <c r="A67">
        <v>7</v>
      </c>
      <c r="B67">
        <v>0</v>
      </c>
      <c r="C67">
        <v>7</v>
      </c>
      <c r="D67">
        <v>3.1496062992125982</v>
      </c>
    </row>
    <row r="68" spans="1:4" x14ac:dyDescent="0.35">
      <c r="A68">
        <v>7.5</v>
      </c>
      <c r="B68">
        <v>0</v>
      </c>
      <c r="C68">
        <v>7.5</v>
      </c>
      <c r="D68">
        <v>3.3745781777277837</v>
      </c>
    </row>
    <row r="69" spans="1:4" x14ac:dyDescent="0.35">
      <c r="A69">
        <v>8</v>
      </c>
      <c r="B69">
        <v>0</v>
      </c>
      <c r="C69">
        <v>8</v>
      </c>
      <c r="D69">
        <v>3.5995500562429692</v>
      </c>
    </row>
    <row r="70" spans="1:4" x14ac:dyDescent="0.35">
      <c r="A70">
        <v>8.5</v>
      </c>
      <c r="B70">
        <v>0</v>
      </c>
      <c r="C70">
        <v>8.5</v>
      </c>
      <c r="D70">
        <v>3.8245219347581552</v>
      </c>
    </row>
    <row r="71" spans="1:4" x14ac:dyDescent="0.35">
      <c r="A71">
        <v>9</v>
      </c>
      <c r="B71">
        <v>0</v>
      </c>
      <c r="C71">
        <v>9</v>
      </c>
      <c r="D71">
        <v>4.0494938132733402</v>
      </c>
    </row>
    <row r="72" spans="1:4" x14ac:dyDescent="0.35">
      <c r="A72">
        <v>9.5</v>
      </c>
      <c r="B72">
        <v>0</v>
      </c>
      <c r="C72">
        <v>9.5</v>
      </c>
      <c r="D72">
        <v>4.2744656917885262</v>
      </c>
    </row>
    <row r="73" spans="1:4" x14ac:dyDescent="0.35">
      <c r="A73">
        <v>10</v>
      </c>
      <c r="B73">
        <v>0</v>
      </c>
      <c r="C73">
        <v>10</v>
      </c>
      <c r="D73">
        <v>4.4994375703037122</v>
      </c>
    </row>
    <row r="74" spans="1:4" x14ac:dyDescent="0.35">
      <c r="A74">
        <v>10.5</v>
      </c>
      <c r="B74">
        <v>0</v>
      </c>
      <c r="C74">
        <v>10.5</v>
      </c>
      <c r="D74">
        <v>4.7244094488188972</v>
      </c>
    </row>
    <row r="75" spans="1:4" x14ac:dyDescent="0.35">
      <c r="A75">
        <v>11</v>
      </c>
      <c r="B75">
        <v>0</v>
      </c>
      <c r="C75">
        <v>11</v>
      </c>
      <c r="D75">
        <v>4.9493813273340832</v>
      </c>
    </row>
    <row r="76" spans="1:4" x14ac:dyDescent="0.35">
      <c r="A76">
        <v>11.5</v>
      </c>
      <c r="B76">
        <v>0</v>
      </c>
      <c r="C76">
        <v>11.5</v>
      </c>
      <c r="D76">
        <v>5.1743532058492683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F076C-6A94-4C7B-92DA-67EC16916F0C}">
  <dimension ref="A1:Q76"/>
  <sheetViews>
    <sheetView topLeftCell="A59" workbookViewId="0">
      <selection sqref="A1:H76"/>
    </sheetView>
  </sheetViews>
  <sheetFormatPr defaultRowHeight="14.5" x14ac:dyDescent="0.35"/>
  <cols>
    <col min="4" max="4" width="18.36328125" customWidth="1"/>
    <col min="6" max="6" width="14.36328125" customWidth="1"/>
    <col min="7" max="7" width="14" customWidth="1"/>
    <col min="8" max="8" width="30.36328125" customWidth="1"/>
  </cols>
  <sheetData>
    <row r="1" spans="1:17" x14ac:dyDescent="0.35">
      <c r="A1" s="1" t="s">
        <v>0</v>
      </c>
      <c r="B1" s="1" t="s">
        <v>1</v>
      </c>
      <c r="C1" s="1" t="s">
        <v>42</v>
      </c>
      <c r="D1" s="1" t="s">
        <v>41</v>
      </c>
      <c r="E1" s="1" t="s">
        <v>2</v>
      </c>
      <c r="F1" s="1" t="s">
        <v>24</v>
      </c>
      <c r="G1" s="1" t="s">
        <v>25</v>
      </c>
      <c r="H1" s="1" t="s">
        <v>3</v>
      </c>
      <c r="P1" s="1" t="s">
        <v>43</v>
      </c>
      <c r="Q1" s="1" t="s">
        <v>44</v>
      </c>
    </row>
    <row r="2" spans="1:17" x14ac:dyDescent="0.35">
      <c r="A2" s="3" t="s">
        <v>28</v>
      </c>
      <c r="B2" s="2"/>
      <c r="C2" s="2"/>
      <c r="D2" s="2"/>
      <c r="E2" s="2"/>
      <c r="F2" s="2"/>
      <c r="G2" s="2"/>
      <c r="H2" s="2"/>
      <c r="I2" s="1" t="s">
        <v>26</v>
      </c>
      <c r="J2" s="1" t="s">
        <v>27</v>
      </c>
      <c r="K2" s="1" t="s">
        <v>22</v>
      </c>
      <c r="L2" s="1" t="s">
        <v>23</v>
      </c>
      <c r="P2">
        <v>3.5</v>
      </c>
      <c r="Q2">
        <f>635/1000</f>
        <v>0.63500000000000001</v>
      </c>
    </row>
    <row r="3" spans="1:17" x14ac:dyDescent="0.35">
      <c r="A3">
        <v>0</v>
      </c>
      <c r="B3">
        <v>0</v>
      </c>
      <c r="C3" cm="1">
        <f t="array" ref="C3:C26">SQRT((A3:A26)^2 +(B3:B26)^2)</f>
        <v>0</v>
      </c>
      <c r="D3" cm="1">
        <f t="array" ref="D3:D26">_xlfn.ANCHORARRAY(C3)/(P2 * Q2)</f>
        <v>0</v>
      </c>
      <c r="E3">
        <v>2.9000000000000001E-2</v>
      </c>
      <c r="F3">
        <v>2.7E-2</v>
      </c>
      <c r="G3">
        <v>2.9000000000000001E-2</v>
      </c>
      <c r="I3">
        <v>15</v>
      </c>
      <c r="J3">
        <v>-0.5</v>
      </c>
      <c r="K3">
        <v>5</v>
      </c>
      <c r="L3">
        <v>0</v>
      </c>
    </row>
    <row r="4" spans="1:17" x14ac:dyDescent="0.35">
      <c r="A4">
        <v>0.5</v>
      </c>
      <c r="B4">
        <v>0</v>
      </c>
      <c r="C4">
        <v>0.5</v>
      </c>
      <c r="D4">
        <v>0.22497187851518557</v>
      </c>
      <c r="E4">
        <v>6.3E-2</v>
      </c>
      <c r="F4">
        <v>6.0999999999999999E-2</v>
      </c>
      <c r="G4">
        <v>6.5000000000000002E-2</v>
      </c>
    </row>
    <row r="5" spans="1:17" x14ac:dyDescent="0.35">
      <c r="A5">
        <v>1</v>
      </c>
      <c r="B5">
        <v>0</v>
      </c>
      <c r="C5">
        <v>1</v>
      </c>
      <c r="D5">
        <v>0.44994375703037115</v>
      </c>
      <c r="E5">
        <v>0.20300000000000001</v>
      </c>
      <c r="F5">
        <v>0.19</v>
      </c>
      <c r="G5">
        <v>0.20599999999999999</v>
      </c>
    </row>
    <row r="6" spans="1:17" x14ac:dyDescent="0.35">
      <c r="A6">
        <v>1.5</v>
      </c>
      <c r="B6">
        <v>0</v>
      </c>
      <c r="C6">
        <v>1.5</v>
      </c>
      <c r="D6">
        <v>0.67491563554555678</v>
      </c>
      <c r="E6">
        <v>0.442</v>
      </c>
      <c r="F6">
        <v>0.435</v>
      </c>
      <c r="G6">
        <v>0.45500000000000002</v>
      </c>
    </row>
    <row r="7" spans="1:17" x14ac:dyDescent="0.35">
      <c r="A7">
        <v>2</v>
      </c>
      <c r="B7">
        <v>0</v>
      </c>
      <c r="C7">
        <v>2</v>
      </c>
      <c r="D7">
        <v>0.8998875140607423</v>
      </c>
      <c r="E7">
        <v>0.60099999999999998</v>
      </c>
      <c r="F7">
        <v>0.59799999999999998</v>
      </c>
      <c r="G7">
        <v>0.60199999999999998</v>
      </c>
    </row>
    <row r="8" spans="1:17" x14ac:dyDescent="0.35">
      <c r="A8">
        <v>2.5</v>
      </c>
      <c r="B8">
        <v>0</v>
      </c>
      <c r="C8">
        <v>2.5</v>
      </c>
      <c r="D8">
        <v>1.124859392575928</v>
      </c>
      <c r="E8">
        <v>0.629</v>
      </c>
      <c r="F8">
        <v>0.626</v>
      </c>
      <c r="G8">
        <v>0.63</v>
      </c>
    </row>
    <row r="9" spans="1:17" x14ac:dyDescent="0.35">
      <c r="A9">
        <v>3</v>
      </c>
      <c r="B9">
        <v>0</v>
      </c>
      <c r="C9">
        <v>3</v>
      </c>
      <c r="D9">
        <v>1.3498312710911136</v>
      </c>
      <c r="E9">
        <v>0.60299999999999998</v>
      </c>
      <c r="F9">
        <v>0.60199999999999998</v>
      </c>
      <c r="G9">
        <v>0.60799999999999998</v>
      </c>
    </row>
    <row r="10" spans="1:17" x14ac:dyDescent="0.35">
      <c r="A10">
        <v>3.5</v>
      </c>
      <c r="B10">
        <v>0</v>
      </c>
      <c r="C10">
        <v>3.5</v>
      </c>
      <c r="D10">
        <v>1.5748031496062991</v>
      </c>
      <c r="E10">
        <v>0.54800000000000004</v>
      </c>
      <c r="F10">
        <v>0.54500000000000004</v>
      </c>
      <c r="G10">
        <v>0.55100000000000005</v>
      </c>
    </row>
    <row r="11" spans="1:17" x14ac:dyDescent="0.35">
      <c r="A11">
        <v>4</v>
      </c>
      <c r="B11">
        <v>0</v>
      </c>
      <c r="C11">
        <v>4</v>
      </c>
      <c r="D11">
        <v>1.7997750281214846</v>
      </c>
      <c r="E11">
        <v>0.45400000000000001</v>
      </c>
      <c r="F11">
        <v>0.44700000000000001</v>
      </c>
      <c r="G11">
        <v>0.45700000000000002</v>
      </c>
    </row>
    <row r="12" spans="1:17" x14ac:dyDescent="0.35">
      <c r="A12">
        <v>4.5</v>
      </c>
      <c r="B12">
        <v>0</v>
      </c>
      <c r="C12">
        <v>4.5</v>
      </c>
      <c r="D12">
        <v>2.0247469066366701</v>
      </c>
      <c r="E12">
        <v>0.35</v>
      </c>
      <c r="F12">
        <v>0.34799999999999998</v>
      </c>
      <c r="G12">
        <v>0.35299999999999998</v>
      </c>
    </row>
    <row r="13" spans="1:17" x14ac:dyDescent="0.35">
      <c r="A13">
        <v>5</v>
      </c>
      <c r="B13">
        <v>0</v>
      </c>
      <c r="C13">
        <v>5</v>
      </c>
      <c r="D13">
        <v>2.2497187851518561</v>
      </c>
      <c r="E13">
        <v>0.255</v>
      </c>
      <c r="F13">
        <v>0.254</v>
      </c>
      <c r="G13">
        <v>0.25700000000000001</v>
      </c>
    </row>
    <row r="14" spans="1:17" x14ac:dyDescent="0.35">
      <c r="A14">
        <v>5.5</v>
      </c>
      <c r="B14">
        <v>0</v>
      </c>
      <c r="C14">
        <v>5.5</v>
      </c>
      <c r="D14">
        <v>2.4746906636670416</v>
      </c>
      <c r="E14">
        <v>0.158</v>
      </c>
      <c r="F14">
        <v>0.155</v>
      </c>
      <c r="G14">
        <v>0.159</v>
      </c>
    </row>
    <row r="15" spans="1:17" x14ac:dyDescent="0.35">
      <c r="A15">
        <v>6</v>
      </c>
      <c r="B15">
        <v>0</v>
      </c>
      <c r="C15">
        <v>6</v>
      </c>
      <c r="D15">
        <v>2.6996625421822271</v>
      </c>
      <c r="E15">
        <v>0.10100000000000001</v>
      </c>
      <c r="F15">
        <v>9.8000000000000004E-2</v>
      </c>
      <c r="G15">
        <v>0.10299999999999999</v>
      </c>
    </row>
    <row r="16" spans="1:17" x14ac:dyDescent="0.35">
      <c r="A16">
        <v>6.5</v>
      </c>
      <c r="B16">
        <v>0</v>
      </c>
      <c r="C16">
        <v>6.5</v>
      </c>
      <c r="D16">
        <v>2.9246344206974126</v>
      </c>
      <c r="E16">
        <v>6.0999999999999999E-2</v>
      </c>
      <c r="F16">
        <v>6.0999999999999999E-2</v>
      </c>
      <c r="G16">
        <v>6.3E-2</v>
      </c>
    </row>
    <row r="17" spans="1:12" x14ac:dyDescent="0.35">
      <c r="A17">
        <v>7</v>
      </c>
      <c r="B17">
        <v>0</v>
      </c>
      <c r="C17">
        <v>7</v>
      </c>
      <c r="D17">
        <v>3.1496062992125982</v>
      </c>
      <c r="E17">
        <v>1.9E-2</v>
      </c>
      <c r="F17">
        <v>1.9E-2</v>
      </c>
      <c r="G17">
        <v>2.1000000000000001E-2</v>
      </c>
    </row>
    <row r="18" spans="1:12" x14ac:dyDescent="0.35">
      <c r="A18">
        <v>7.5</v>
      </c>
      <c r="B18">
        <v>0</v>
      </c>
      <c r="C18">
        <v>7.5</v>
      </c>
      <c r="D18">
        <v>3.3745781777277837</v>
      </c>
      <c r="E18">
        <v>2E-3</v>
      </c>
    </row>
    <row r="19" spans="1:12" x14ac:dyDescent="0.35">
      <c r="A19">
        <v>8</v>
      </c>
      <c r="B19">
        <v>0</v>
      </c>
      <c r="C19">
        <v>8</v>
      </c>
      <c r="D19">
        <v>3.5995500562429692</v>
      </c>
      <c r="E19">
        <v>1E-3</v>
      </c>
    </row>
    <row r="20" spans="1:12" x14ac:dyDescent="0.35">
      <c r="A20">
        <v>8.5</v>
      </c>
      <c r="B20">
        <v>0</v>
      </c>
      <c r="C20">
        <v>8.5</v>
      </c>
      <c r="D20">
        <v>3.8245219347581552</v>
      </c>
      <c r="E20">
        <v>5.0000000000000001E-3</v>
      </c>
    </row>
    <row r="21" spans="1:12" x14ac:dyDescent="0.35">
      <c r="A21">
        <v>9</v>
      </c>
      <c r="B21">
        <v>0</v>
      </c>
      <c r="C21">
        <v>9</v>
      </c>
      <c r="D21">
        <v>4.0494938132733402</v>
      </c>
      <c r="E21">
        <v>0.01</v>
      </c>
    </row>
    <row r="22" spans="1:12" x14ac:dyDescent="0.35">
      <c r="A22">
        <v>9.5</v>
      </c>
      <c r="B22">
        <v>0</v>
      </c>
      <c r="C22">
        <v>9.5</v>
      </c>
      <c r="D22">
        <v>4.2744656917885262</v>
      </c>
      <c r="E22">
        <v>1.7999999999999999E-2</v>
      </c>
    </row>
    <row r="23" spans="1:12" x14ac:dyDescent="0.35">
      <c r="A23">
        <v>10</v>
      </c>
      <c r="B23">
        <v>0</v>
      </c>
      <c r="C23">
        <v>10</v>
      </c>
      <c r="D23">
        <v>4.4994375703037122</v>
      </c>
      <c r="E23">
        <v>2.3E-2</v>
      </c>
    </row>
    <row r="24" spans="1:12" x14ac:dyDescent="0.35">
      <c r="A24">
        <v>10.5</v>
      </c>
      <c r="B24">
        <v>0</v>
      </c>
      <c r="C24">
        <v>10.5</v>
      </c>
      <c r="D24">
        <v>4.7244094488188972</v>
      </c>
      <c r="E24">
        <v>2.7E-2</v>
      </c>
    </row>
    <row r="25" spans="1:12" x14ac:dyDescent="0.35">
      <c r="A25">
        <v>11</v>
      </c>
      <c r="B25">
        <v>0</v>
      </c>
      <c r="C25">
        <v>11</v>
      </c>
      <c r="D25">
        <v>4.9493813273340832</v>
      </c>
      <c r="E25">
        <v>2.8000000000000001E-2</v>
      </c>
    </row>
    <row r="26" spans="1:12" x14ac:dyDescent="0.35">
      <c r="A26">
        <v>11.5</v>
      </c>
      <c r="B26">
        <v>0</v>
      </c>
      <c r="C26">
        <v>11.5</v>
      </c>
      <c r="D26">
        <v>5.1743532058492683</v>
      </c>
      <c r="E26">
        <v>2.8000000000000001E-2</v>
      </c>
    </row>
    <row r="27" spans="1:12" x14ac:dyDescent="0.35">
      <c r="A27" s="3" t="s">
        <v>34</v>
      </c>
      <c r="B27" s="2"/>
      <c r="C27" s="2"/>
      <c r="D27" s="2"/>
      <c r="E27" s="2"/>
      <c r="F27" s="2"/>
      <c r="G27" s="2"/>
      <c r="H27" s="2"/>
      <c r="I27" s="1" t="s">
        <v>26</v>
      </c>
      <c r="J27" s="1" t="s">
        <v>27</v>
      </c>
      <c r="K27" s="1" t="s">
        <v>22</v>
      </c>
      <c r="L27" s="1" t="s">
        <v>23</v>
      </c>
    </row>
    <row r="28" spans="1:12" x14ac:dyDescent="0.35">
      <c r="A28">
        <v>0</v>
      </c>
      <c r="B28">
        <v>0</v>
      </c>
      <c r="C28" cm="1">
        <f t="array" ref="C28:C51">SQRT((A28:A51)^2 +(B28:B51)^2)</f>
        <v>0</v>
      </c>
      <c r="D28" cm="1">
        <f t="array" ref="D28:D51">_xlfn.ANCHORARRAY(C28)/(P2 * Q2)</f>
        <v>0</v>
      </c>
      <c r="E28">
        <v>0.02</v>
      </c>
      <c r="F28">
        <v>1.6E-2</v>
      </c>
      <c r="G28">
        <v>2.5000000000000001E-2</v>
      </c>
      <c r="I28">
        <v>15</v>
      </c>
      <c r="J28">
        <v>-0.5</v>
      </c>
      <c r="K28">
        <v>5</v>
      </c>
      <c r="L28">
        <v>0</v>
      </c>
    </row>
    <row r="29" spans="1:12" x14ac:dyDescent="0.35">
      <c r="A29">
        <v>0.5</v>
      </c>
      <c r="B29">
        <v>0</v>
      </c>
      <c r="C29">
        <v>0.5</v>
      </c>
      <c r="D29">
        <v>0.22497187851518557</v>
      </c>
      <c r="E29">
        <v>5.8999999999999997E-2</v>
      </c>
      <c r="F29">
        <v>5.3999999999999999E-2</v>
      </c>
      <c r="G29">
        <v>6.3E-2</v>
      </c>
    </row>
    <row r="30" spans="1:12" x14ac:dyDescent="0.35">
      <c r="A30">
        <v>1</v>
      </c>
      <c r="B30">
        <v>0</v>
      </c>
      <c r="C30">
        <v>1</v>
      </c>
      <c r="D30">
        <v>0.44994375703037115</v>
      </c>
      <c r="E30">
        <v>0.14499999999999999</v>
      </c>
      <c r="F30">
        <v>0.14000000000000001</v>
      </c>
      <c r="G30">
        <v>0.14799999999999999</v>
      </c>
    </row>
    <row r="31" spans="1:12" x14ac:dyDescent="0.35">
      <c r="A31">
        <v>1.5</v>
      </c>
      <c r="B31">
        <v>0</v>
      </c>
      <c r="C31">
        <v>1.5</v>
      </c>
      <c r="D31">
        <v>0.67491563554555678</v>
      </c>
      <c r="E31">
        <v>0.32700000000000001</v>
      </c>
      <c r="F31">
        <v>0.31900000000000001</v>
      </c>
      <c r="G31">
        <v>0.33500000000000002</v>
      </c>
    </row>
    <row r="32" spans="1:12" x14ac:dyDescent="0.35">
      <c r="A32">
        <v>2</v>
      </c>
      <c r="B32">
        <v>0</v>
      </c>
      <c r="C32">
        <v>2</v>
      </c>
      <c r="D32">
        <v>0.8998875140607423</v>
      </c>
      <c r="E32">
        <v>0.45500000000000002</v>
      </c>
      <c r="F32">
        <v>0.44600000000000001</v>
      </c>
      <c r="G32">
        <v>0.46</v>
      </c>
    </row>
    <row r="33" spans="1:7" x14ac:dyDescent="0.35">
      <c r="A33">
        <v>2.5</v>
      </c>
      <c r="B33">
        <v>0</v>
      </c>
      <c r="C33">
        <v>2.5</v>
      </c>
      <c r="D33">
        <v>1.124859392575928</v>
      </c>
      <c r="E33">
        <v>0.51100000000000001</v>
      </c>
      <c r="F33">
        <v>0.50600000000000001</v>
      </c>
      <c r="G33">
        <v>0.51500000000000001</v>
      </c>
    </row>
    <row r="34" spans="1:7" x14ac:dyDescent="0.35">
      <c r="A34">
        <v>3</v>
      </c>
      <c r="B34">
        <v>0</v>
      </c>
      <c r="C34">
        <v>3</v>
      </c>
      <c r="D34">
        <v>1.3498312710911136</v>
      </c>
      <c r="E34">
        <v>0.57699999999999996</v>
      </c>
      <c r="F34">
        <v>0.57699999999999996</v>
      </c>
      <c r="G34">
        <v>0.57899999999999996</v>
      </c>
    </row>
    <row r="35" spans="1:7" x14ac:dyDescent="0.35">
      <c r="A35">
        <v>3.5</v>
      </c>
      <c r="B35">
        <v>0</v>
      </c>
      <c r="C35">
        <v>3.5</v>
      </c>
      <c r="D35">
        <v>1.5748031496062991</v>
      </c>
      <c r="E35">
        <v>0.54300000000000004</v>
      </c>
      <c r="F35">
        <v>0.54100000000000004</v>
      </c>
      <c r="G35">
        <v>0.54400000000000004</v>
      </c>
    </row>
    <row r="36" spans="1:7" x14ac:dyDescent="0.35">
      <c r="A36">
        <v>4</v>
      </c>
      <c r="B36">
        <v>0</v>
      </c>
      <c r="C36">
        <v>4</v>
      </c>
      <c r="D36">
        <v>1.7997750281214846</v>
      </c>
      <c r="E36">
        <v>0.49099999999999999</v>
      </c>
      <c r="F36">
        <v>0.48799999999999999</v>
      </c>
      <c r="G36">
        <v>0.495</v>
      </c>
    </row>
    <row r="37" spans="1:7" x14ac:dyDescent="0.35">
      <c r="A37">
        <v>4.5</v>
      </c>
      <c r="B37">
        <v>0</v>
      </c>
      <c r="C37">
        <v>4.5</v>
      </c>
      <c r="D37">
        <v>2.0247469066366701</v>
      </c>
      <c r="E37">
        <v>0.40500000000000003</v>
      </c>
      <c r="F37">
        <v>0.39700000000000002</v>
      </c>
      <c r="G37">
        <v>0.40699999999999997</v>
      </c>
    </row>
    <row r="38" spans="1:7" x14ac:dyDescent="0.35">
      <c r="A38">
        <v>5</v>
      </c>
      <c r="B38">
        <v>0</v>
      </c>
      <c r="C38">
        <v>5</v>
      </c>
      <c r="D38">
        <v>2.2497187851518561</v>
      </c>
      <c r="E38">
        <v>0.30399999999999999</v>
      </c>
      <c r="F38">
        <v>0.29799999999999999</v>
      </c>
      <c r="G38">
        <v>0.30599999999999999</v>
      </c>
    </row>
    <row r="39" spans="1:7" x14ac:dyDescent="0.35">
      <c r="A39">
        <v>5.5</v>
      </c>
      <c r="B39">
        <v>0</v>
      </c>
      <c r="C39">
        <v>5.5</v>
      </c>
      <c r="D39">
        <v>2.4746906636670416</v>
      </c>
      <c r="E39">
        <v>0.23599999999999999</v>
      </c>
      <c r="F39">
        <v>0.23100000000000001</v>
      </c>
      <c r="G39">
        <v>0.23799999999999999</v>
      </c>
    </row>
    <row r="40" spans="1:7" x14ac:dyDescent="0.35">
      <c r="A40">
        <v>6</v>
      </c>
      <c r="B40">
        <v>0</v>
      </c>
      <c r="C40">
        <v>6</v>
      </c>
      <c r="D40">
        <v>2.6996625421822271</v>
      </c>
      <c r="E40">
        <v>0.151</v>
      </c>
      <c r="F40">
        <v>0.14799999999999999</v>
      </c>
      <c r="G40">
        <v>0.158</v>
      </c>
    </row>
    <row r="41" spans="1:7" x14ac:dyDescent="0.35">
      <c r="A41">
        <v>6.5</v>
      </c>
      <c r="B41">
        <v>0</v>
      </c>
      <c r="C41">
        <v>6.5</v>
      </c>
      <c r="D41">
        <v>2.9246344206974126</v>
      </c>
      <c r="E41">
        <v>9.7000000000000003E-2</v>
      </c>
      <c r="F41">
        <v>9.1999999999999998E-2</v>
      </c>
      <c r="G41">
        <v>9.8000000000000004E-2</v>
      </c>
    </row>
    <row r="42" spans="1:7" x14ac:dyDescent="0.35">
      <c r="A42">
        <v>7</v>
      </c>
      <c r="B42">
        <v>0</v>
      </c>
      <c r="C42">
        <v>7</v>
      </c>
      <c r="D42">
        <v>3.1496062992125982</v>
      </c>
      <c r="E42">
        <v>5.2999999999999999E-2</v>
      </c>
      <c r="F42">
        <v>5.0999999999999997E-2</v>
      </c>
      <c r="G42">
        <v>5.3999999999999999E-2</v>
      </c>
    </row>
    <row r="43" spans="1:7" x14ac:dyDescent="0.35">
      <c r="A43">
        <v>7.5</v>
      </c>
      <c r="B43">
        <v>0</v>
      </c>
      <c r="C43">
        <v>7.5</v>
      </c>
      <c r="D43">
        <v>3.3745781777277837</v>
      </c>
      <c r="E43">
        <v>0.02</v>
      </c>
      <c r="F43">
        <v>0.02</v>
      </c>
      <c r="G43">
        <v>2.1000000000000001E-2</v>
      </c>
    </row>
    <row r="44" spans="1:7" x14ac:dyDescent="0.35">
      <c r="A44">
        <v>8</v>
      </c>
      <c r="B44">
        <v>0</v>
      </c>
      <c r="C44">
        <v>8</v>
      </c>
      <c r="D44">
        <v>3.5995500562429692</v>
      </c>
      <c r="E44">
        <v>7.0000000000000001E-3</v>
      </c>
    </row>
    <row r="45" spans="1:7" x14ac:dyDescent="0.35">
      <c r="A45">
        <v>8.5</v>
      </c>
      <c r="B45">
        <v>0</v>
      </c>
      <c r="C45">
        <v>8.5</v>
      </c>
      <c r="D45">
        <v>3.8245219347581552</v>
      </c>
      <c r="E45">
        <v>2E-3</v>
      </c>
    </row>
    <row r="46" spans="1:7" x14ac:dyDescent="0.35">
      <c r="A46">
        <v>9</v>
      </c>
      <c r="B46">
        <v>0</v>
      </c>
      <c r="C46">
        <v>9</v>
      </c>
      <c r="D46">
        <v>4.0494938132733402</v>
      </c>
      <c r="E46">
        <v>2E-3</v>
      </c>
    </row>
    <row r="47" spans="1:7" x14ac:dyDescent="0.35">
      <c r="A47">
        <v>9.5</v>
      </c>
      <c r="B47">
        <v>0</v>
      </c>
      <c r="C47">
        <v>9.5</v>
      </c>
      <c r="D47">
        <v>4.2744656917885262</v>
      </c>
      <c r="E47">
        <v>8.9999999999999993E-3</v>
      </c>
    </row>
    <row r="48" spans="1:7" x14ac:dyDescent="0.35">
      <c r="A48">
        <v>10</v>
      </c>
      <c r="B48">
        <v>0</v>
      </c>
      <c r="C48">
        <v>10</v>
      </c>
      <c r="D48">
        <v>4.4994375703037122</v>
      </c>
      <c r="E48">
        <v>1.2999999999999999E-2</v>
      </c>
    </row>
    <row r="49" spans="1:12" x14ac:dyDescent="0.35">
      <c r="A49">
        <v>10.5</v>
      </c>
      <c r="B49">
        <v>0</v>
      </c>
      <c r="C49">
        <v>10.5</v>
      </c>
      <c r="D49">
        <v>4.7244094488188972</v>
      </c>
      <c r="E49">
        <v>1.7999999999999999E-2</v>
      </c>
    </row>
    <row r="50" spans="1:12" x14ac:dyDescent="0.35">
      <c r="A50">
        <v>11</v>
      </c>
      <c r="B50">
        <v>0</v>
      </c>
      <c r="C50">
        <v>11</v>
      </c>
      <c r="D50">
        <v>4.9493813273340832</v>
      </c>
      <c r="E50">
        <v>0.02</v>
      </c>
    </row>
    <row r="51" spans="1:12" x14ac:dyDescent="0.35">
      <c r="A51">
        <v>11.5</v>
      </c>
      <c r="B51">
        <v>0</v>
      </c>
      <c r="C51">
        <v>11.5</v>
      </c>
      <c r="D51">
        <v>5.1743532058492683</v>
      </c>
      <c r="E51">
        <v>2.3E-2</v>
      </c>
    </row>
    <row r="52" spans="1:12" x14ac:dyDescent="0.35">
      <c r="A52" s="3" t="s">
        <v>37</v>
      </c>
      <c r="B52" s="2"/>
      <c r="C52" s="2"/>
      <c r="D52" s="2"/>
      <c r="E52" s="2"/>
      <c r="F52" s="2"/>
      <c r="G52" s="2"/>
      <c r="H52" s="2"/>
      <c r="I52" s="1" t="s">
        <v>26</v>
      </c>
      <c r="J52" s="1" t="s">
        <v>27</v>
      </c>
      <c r="K52" s="1" t="s">
        <v>22</v>
      </c>
      <c r="L52" s="1" t="s">
        <v>23</v>
      </c>
    </row>
    <row r="53" spans="1:12" x14ac:dyDescent="0.35">
      <c r="A53">
        <v>0</v>
      </c>
      <c r="B53">
        <v>0</v>
      </c>
      <c r="C53" cm="1">
        <f t="array" ref="C53:C76">SQRT((A53:A76)^2 +(B53:B76)^2)</f>
        <v>0</v>
      </c>
      <c r="D53" cm="1">
        <f t="array" ref="D53:D76">_xlfn.ANCHORARRAY(C53)/(P2 * Q2)</f>
        <v>0</v>
      </c>
      <c r="E53">
        <v>1.4999999999999999E-2</v>
      </c>
      <c r="F53">
        <v>1.4E-2</v>
      </c>
      <c r="G53">
        <v>1.7000000000000001E-2</v>
      </c>
      <c r="I53">
        <v>15</v>
      </c>
      <c r="J53">
        <v>-0.5</v>
      </c>
      <c r="K53">
        <v>5</v>
      </c>
      <c r="L53">
        <v>0</v>
      </c>
    </row>
    <row r="54" spans="1:12" x14ac:dyDescent="0.35">
      <c r="A54">
        <v>0.5</v>
      </c>
      <c r="B54">
        <v>0</v>
      </c>
      <c r="C54">
        <v>0.5</v>
      </c>
      <c r="D54">
        <v>0.22497187851518557</v>
      </c>
      <c r="E54">
        <v>7.9000000000000001E-2</v>
      </c>
      <c r="F54">
        <v>7.0999999999999994E-2</v>
      </c>
      <c r="G54">
        <v>8.3000000000000004E-2</v>
      </c>
    </row>
    <row r="55" spans="1:12" x14ac:dyDescent="0.35">
      <c r="A55">
        <v>1</v>
      </c>
      <c r="B55">
        <v>0</v>
      </c>
      <c r="C55">
        <v>1</v>
      </c>
      <c r="D55">
        <v>0.44994375703037115</v>
      </c>
      <c r="E55">
        <v>0.17799999999999999</v>
      </c>
      <c r="F55">
        <v>0.17199999999999999</v>
      </c>
      <c r="G55">
        <v>0.183</v>
      </c>
    </row>
    <row r="56" spans="1:12" x14ac:dyDescent="0.35">
      <c r="A56">
        <v>1.5</v>
      </c>
      <c r="B56">
        <v>0</v>
      </c>
      <c r="C56">
        <v>1.5</v>
      </c>
      <c r="D56">
        <v>0.67491563554555678</v>
      </c>
      <c r="E56">
        <v>0.32800000000000001</v>
      </c>
      <c r="F56">
        <v>0.32500000000000001</v>
      </c>
      <c r="G56">
        <v>0.33500000000000002</v>
      </c>
    </row>
    <row r="57" spans="1:12" x14ac:dyDescent="0.35">
      <c r="A57">
        <v>2</v>
      </c>
      <c r="B57">
        <v>0</v>
      </c>
      <c r="C57">
        <v>2</v>
      </c>
      <c r="D57">
        <v>0.8998875140607423</v>
      </c>
      <c r="E57">
        <v>0.50700000000000001</v>
      </c>
      <c r="F57">
        <v>0.503</v>
      </c>
      <c r="G57">
        <v>0.51200000000000001</v>
      </c>
    </row>
    <row r="58" spans="1:12" x14ac:dyDescent="0.35">
      <c r="A58">
        <v>2.5</v>
      </c>
      <c r="B58">
        <v>0</v>
      </c>
      <c r="C58">
        <v>2.5</v>
      </c>
      <c r="D58">
        <v>1.124859392575928</v>
      </c>
      <c r="E58">
        <v>0.59699999999999998</v>
      </c>
      <c r="F58">
        <v>0.59199999999999997</v>
      </c>
      <c r="G58">
        <v>0.60299999999999998</v>
      </c>
    </row>
    <row r="59" spans="1:12" x14ac:dyDescent="0.35">
      <c r="A59">
        <v>3</v>
      </c>
      <c r="B59">
        <v>0</v>
      </c>
      <c r="C59">
        <v>3</v>
      </c>
      <c r="D59">
        <v>1.3498312710911136</v>
      </c>
      <c r="E59">
        <v>0.61099999999999999</v>
      </c>
      <c r="F59">
        <v>0.60799999999999998</v>
      </c>
      <c r="G59">
        <v>0.61299999999999999</v>
      </c>
    </row>
    <row r="60" spans="1:12" x14ac:dyDescent="0.35">
      <c r="A60">
        <v>3.5</v>
      </c>
      <c r="B60">
        <v>0</v>
      </c>
      <c r="C60">
        <v>3.5</v>
      </c>
      <c r="D60">
        <v>1.5748031496062991</v>
      </c>
      <c r="E60">
        <v>0.56000000000000005</v>
      </c>
      <c r="F60">
        <v>0.55300000000000005</v>
      </c>
      <c r="G60">
        <v>0.56499999999999995</v>
      </c>
    </row>
    <row r="61" spans="1:12" x14ac:dyDescent="0.35">
      <c r="A61">
        <v>4</v>
      </c>
      <c r="B61">
        <v>0</v>
      </c>
      <c r="C61">
        <v>4</v>
      </c>
      <c r="D61">
        <v>1.7997750281214846</v>
      </c>
      <c r="E61">
        <v>0.48299999999999998</v>
      </c>
      <c r="F61">
        <v>0.46899999999999997</v>
      </c>
      <c r="G61">
        <v>0.48599999999999999</v>
      </c>
    </row>
    <row r="62" spans="1:12" x14ac:dyDescent="0.35">
      <c r="A62">
        <v>4.5</v>
      </c>
      <c r="B62">
        <v>0</v>
      </c>
      <c r="C62">
        <v>4.5</v>
      </c>
      <c r="D62">
        <v>2.0247469066366701</v>
      </c>
      <c r="E62">
        <v>0.41599999999999998</v>
      </c>
      <c r="F62">
        <v>0.41399999999999998</v>
      </c>
      <c r="G62">
        <v>0.42099999999999999</v>
      </c>
    </row>
    <row r="63" spans="1:12" x14ac:dyDescent="0.35">
      <c r="A63">
        <v>5</v>
      </c>
      <c r="B63">
        <v>0</v>
      </c>
      <c r="C63">
        <v>5</v>
      </c>
      <c r="D63">
        <v>2.2497187851518561</v>
      </c>
      <c r="E63">
        <v>0.33100000000000002</v>
      </c>
      <c r="F63">
        <v>0.32900000000000001</v>
      </c>
      <c r="G63">
        <v>0.33600000000000002</v>
      </c>
    </row>
    <row r="64" spans="1:12" x14ac:dyDescent="0.35">
      <c r="A64">
        <v>5.5</v>
      </c>
      <c r="B64">
        <v>0</v>
      </c>
      <c r="C64">
        <v>5.5</v>
      </c>
      <c r="D64">
        <v>2.4746906636670416</v>
      </c>
      <c r="E64">
        <v>0.248</v>
      </c>
      <c r="F64">
        <v>0.24299999999999999</v>
      </c>
      <c r="G64">
        <v>0.254</v>
      </c>
    </row>
    <row r="65" spans="1:7" x14ac:dyDescent="0.35">
      <c r="A65">
        <v>6</v>
      </c>
      <c r="B65">
        <v>0</v>
      </c>
      <c r="C65">
        <v>6</v>
      </c>
      <c r="D65">
        <v>2.6996625421822271</v>
      </c>
      <c r="E65">
        <v>0.155</v>
      </c>
      <c r="F65">
        <v>0.15</v>
      </c>
      <c r="G65">
        <v>0.158</v>
      </c>
    </row>
    <row r="66" spans="1:7" x14ac:dyDescent="0.35">
      <c r="A66">
        <v>6.5</v>
      </c>
      <c r="B66">
        <v>0</v>
      </c>
      <c r="C66">
        <v>6.5</v>
      </c>
      <c r="D66">
        <v>2.9246344206974126</v>
      </c>
      <c r="E66">
        <v>8.4000000000000005E-2</v>
      </c>
      <c r="F66">
        <v>8.3000000000000004E-2</v>
      </c>
      <c r="G66">
        <v>9.0999999999999998E-2</v>
      </c>
    </row>
    <row r="67" spans="1:7" x14ac:dyDescent="0.35">
      <c r="A67">
        <v>7</v>
      </c>
      <c r="B67">
        <v>0</v>
      </c>
      <c r="C67">
        <v>7</v>
      </c>
      <c r="D67">
        <v>3.1496062992125982</v>
      </c>
      <c r="E67">
        <v>4.1000000000000002E-2</v>
      </c>
      <c r="F67">
        <v>3.9E-2</v>
      </c>
      <c r="G67">
        <v>4.2000000000000003E-2</v>
      </c>
    </row>
    <row r="68" spans="1:7" x14ac:dyDescent="0.35">
      <c r="A68">
        <v>7.5</v>
      </c>
      <c r="B68">
        <v>0</v>
      </c>
      <c r="C68">
        <v>7.5</v>
      </c>
      <c r="D68">
        <v>3.3745781777277837</v>
      </c>
      <c r="E68">
        <v>2.1000000000000001E-2</v>
      </c>
      <c r="F68">
        <v>0.02</v>
      </c>
      <c r="G68">
        <v>2.1999999999999999E-2</v>
      </c>
    </row>
    <row r="69" spans="1:7" x14ac:dyDescent="0.35">
      <c r="A69">
        <v>8</v>
      </c>
      <c r="B69">
        <v>0</v>
      </c>
      <c r="C69">
        <v>8</v>
      </c>
      <c r="D69">
        <v>3.5995500562429692</v>
      </c>
      <c r="E69">
        <v>5.0000000000000001E-3</v>
      </c>
      <c r="F69">
        <v>5.0000000000000001E-3</v>
      </c>
      <c r="G69">
        <v>6.0000000000000001E-3</v>
      </c>
    </row>
    <row r="70" spans="1:7" x14ac:dyDescent="0.35">
      <c r="A70">
        <v>8.5</v>
      </c>
      <c r="B70">
        <v>0</v>
      </c>
      <c r="C70">
        <v>8.5</v>
      </c>
      <c r="D70">
        <v>3.8245219347581552</v>
      </c>
      <c r="E70">
        <v>1E-3</v>
      </c>
      <c r="F70">
        <v>1E-3</v>
      </c>
      <c r="G70">
        <v>2E-3</v>
      </c>
    </row>
    <row r="71" spans="1:7" x14ac:dyDescent="0.35">
      <c r="A71">
        <v>9</v>
      </c>
      <c r="B71">
        <v>0</v>
      </c>
      <c r="C71">
        <v>9</v>
      </c>
      <c r="D71">
        <v>4.0494938132733402</v>
      </c>
      <c r="E71">
        <v>2E-3</v>
      </c>
      <c r="F71">
        <v>2E-3</v>
      </c>
      <c r="G71">
        <v>3.0000000000000001E-3</v>
      </c>
    </row>
    <row r="72" spans="1:7" x14ac:dyDescent="0.35">
      <c r="A72">
        <v>9.5</v>
      </c>
      <c r="B72">
        <v>0</v>
      </c>
      <c r="C72">
        <v>9.5</v>
      </c>
      <c r="D72">
        <v>4.2744656917885262</v>
      </c>
      <c r="E72">
        <v>7.0000000000000001E-3</v>
      </c>
    </row>
    <row r="73" spans="1:7" x14ac:dyDescent="0.35">
      <c r="A73">
        <v>10</v>
      </c>
      <c r="B73">
        <v>0</v>
      </c>
      <c r="C73">
        <v>10</v>
      </c>
      <c r="D73">
        <v>4.4994375703037122</v>
      </c>
      <c r="E73">
        <v>1.2E-2</v>
      </c>
    </row>
    <row r="74" spans="1:7" x14ac:dyDescent="0.35">
      <c r="A74">
        <v>10.5</v>
      </c>
      <c r="B74">
        <v>0</v>
      </c>
      <c r="C74">
        <v>10.5</v>
      </c>
      <c r="D74">
        <v>4.7244094488188972</v>
      </c>
      <c r="E74">
        <v>1.7000000000000001E-2</v>
      </c>
    </row>
    <row r="75" spans="1:7" x14ac:dyDescent="0.35">
      <c r="A75">
        <v>11</v>
      </c>
      <c r="B75">
        <v>0</v>
      </c>
      <c r="C75">
        <v>11</v>
      </c>
      <c r="D75">
        <v>4.9493813273340832</v>
      </c>
      <c r="E75">
        <v>2.1000000000000001E-2</v>
      </c>
    </row>
    <row r="76" spans="1:7" x14ac:dyDescent="0.35">
      <c r="A76">
        <v>11.5</v>
      </c>
      <c r="B76">
        <v>0</v>
      </c>
      <c r="C76">
        <v>11.5</v>
      </c>
      <c r="D76">
        <v>5.1743532058492683</v>
      </c>
      <c r="E76">
        <v>2.1999999999999999E-2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283DD-3FAE-47EA-AB95-E3D3C73D8A96}">
  <dimension ref="A1:Q76"/>
  <sheetViews>
    <sheetView workbookViewId="0">
      <selection activeCell="D54" sqref="D54"/>
    </sheetView>
  </sheetViews>
  <sheetFormatPr defaultRowHeight="14.5" x14ac:dyDescent="0.35"/>
  <cols>
    <col min="4" max="4" width="19.36328125" customWidth="1"/>
    <col min="6" max="6" width="12.1796875" customWidth="1"/>
    <col min="7" max="7" width="11.7265625" customWidth="1"/>
    <col min="8" max="8" width="51.7265625" customWidth="1"/>
  </cols>
  <sheetData>
    <row r="1" spans="1:17" x14ac:dyDescent="0.35">
      <c r="A1" s="1" t="s">
        <v>0</v>
      </c>
      <c r="B1" s="1" t="s">
        <v>1</v>
      </c>
      <c r="C1" s="1" t="s">
        <v>42</v>
      </c>
      <c r="D1" s="1" t="s">
        <v>41</v>
      </c>
      <c r="E1" s="1" t="s">
        <v>2</v>
      </c>
      <c r="F1" s="1" t="s">
        <v>24</v>
      </c>
      <c r="G1" s="1" t="s">
        <v>25</v>
      </c>
      <c r="H1" s="1" t="s">
        <v>3</v>
      </c>
      <c r="K1" s="1"/>
      <c r="L1" s="1"/>
      <c r="M1" s="1"/>
      <c r="N1" s="1"/>
      <c r="P1" s="1" t="s">
        <v>43</v>
      </c>
      <c r="Q1" s="1" t="s">
        <v>44</v>
      </c>
    </row>
    <row r="2" spans="1:17" x14ac:dyDescent="0.35">
      <c r="A2" s="3" t="s">
        <v>28</v>
      </c>
      <c r="B2" s="2"/>
      <c r="C2" s="2"/>
      <c r="D2" s="2"/>
      <c r="E2" s="2"/>
      <c r="F2" s="2"/>
      <c r="G2" s="2"/>
      <c r="H2" s="2"/>
      <c r="I2" s="1" t="s">
        <v>26</v>
      </c>
      <c r="J2" s="1" t="s">
        <v>27</v>
      </c>
      <c r="K2" s="1" t="s">
        <v>22</v>
      </c>
      <c r="L2" s="1" t="s">
        <v>23</v>
      </c>
      <c r="P2">
        <v>3.5</v>
      </c>
      <c r="Q2">
        <f>635/1000</f>
        <v>0.63500000000000001</v>
      </c>
    </row>
    <row r="3" spans="1:17" x14ac:dyDescent="0.35">
      <c r="A3">
        <v>0</v>
      </c>
      <c r="B3">
        <v>0</v>
      </c>
      <c r="C3" cm="1">
        <f t="array" ref="C3:C26">SQRT((A3:A26)^2 +(B3:B26)^2)</f>
        <v>0</v>
      </c>
      <c r="D3" cm="1">
        <f t="array" ref="D3:D26">_xlfn.ANCHORARRAY(C3)/(P2 * Q2)</f>
        <v>0</v>
      </c>
      <c r="E3">
        <v>1.7999999999999999E-2</v>
      </c>
      <c r="F3">
        <v>1.6E-2</v>
      </c>
      <c r="G3">
        <v>2.1000000000000001E-2</v>
      </c>
      <c r="I3">
        <v>15</v>
      </c>
      <c r="J3">
        <v>0</v>
      </c>
      <c r="K3">
        <v>3.5</v>
      </c>
      <c r="L3">
        <v>0.5</v>
      </c>
    </row>
    <row r="4" spans="1:17" x14ac:dyDescent="0.35">
      <c r="A4">
        <v>0</v>
      </c>
      <c r="B4">
        <v>0.5</v>
      </c>
      <c r="C4">
        <v>0.5</v>
      </c>
      <c r="D4">
        <v>0.22497187851518557</v>
      </c>
      <c r="E4">
        <v>0.104</v>
      </c>
      <c r="F4">
        <v>9.6000000000000002E-2</v>
      </c>
      <c r="G4">
        <v>0.11899999999999999</v>
      </c>
    </row>
    <row r="5" spans="1:17" x14ac:dyDescent="0.35">
      <c r="A5">
        <v>0</v>
      </c>
      <c r="B5">
        <v>1</v>
      </c>
      <c r="C5">
        <v>1</v>
      </c>
      <c r="D5">
        <v>0.44994375703037115</v>
      </c>
      <c r="E5">
        <v>0.29399999999999998</v>
      </c>
      <c r="F5">
        <v>0.27</v>
      </c>
      <c r="G5">
        <v>0.307</v>
      </c>
    </row>
    <row r="6" spans="1:17" x14ac:dyDescent="0.35">
      <c r="A6">
        <v>0</v>
      </c>
      <c r="B6">
        <v>1.5</v>
      </c>
      <c r="C6">
        <v>1.5</v>
      </c>
      <c r="D6">
        <v>0.67491563554555678</v>
      </c>
      <c r="E6">
        <v>0.52600000000000002</v>
      </c>
      <c r="F6">
        <v>0.50800000000000001</v>
      </c>
      <c r="G6">
        <v>0.54</v>
      </c>
    </row>
    <row r="7" spans="1:17" x14ac:dyDescent="0.35">
      <c r="A7">
        <v>0</v>
      </c>
      <c r="B7">
        <v>2</v>
      </c>
      <c r="C7">
        <v>2</v>
      </c>
      <c r="D7">
        <v>0.8998875140607423</v>
      </c>
      <c r="E7">
        <v>0.73399999999999999</v>
      </c>
      <c r="F7">
        <v>0.72499999999999998</v>
      </c>
      <c r="G7">
        <v>0.74</v>
      </c>
    </row>
    <row r="8" spans="1:17" x14ac:dyDescent="0.35">
      <c r="A8">
        <v>0</v>
      </c>
      <c r="B8">
        <v>2.5</v>
      </c>
      <c r="C8">
        <v>2.5</v>
      </c>
      <c r="D8">
        <v>1.124859392575928</v>
      </c>
      <c r="E8">
        <v>0.80500000000000005</v>
      </c>
      <c r="F8">
        <v>0.80200000000000005</v>
      </c>
      <c r="G8">
        <v>0.80600000000000005</v>
      </c>
    </row>
    <row r="9" spans="1:17" x14ac:dyDescent="0.35">
      <c r="A9">
        <v>0</v>
      </c>
      <c r="B9">
        <v>3</v>
      </c>
      <c r="C9">
        <v>3</v>
      </c>
      <c r="D9">
        <v>1.3498312710911136</v>
      </c>
      <c r="E9">
        <v>0.74099999999999999</v>
      </c>
      <c r="F9">
        <v>0.73699999999999999</v>
      </c>
      <c r="G9">
        <v>0.746</v>
      </c>
    </row>
    <row r="10" spans="1:17" x14ac:dyDescent="0.35">
      <c r="A10">
        <v>0</v>
      </c>
      <c r="B10">
        <v>3.5</v>
      </c>
      <c r="C10">
        <v>3.5</v>
      </c>
      <c r="D10">
        <v>1.5748031496062991</v>
      </c>
      <c r="E10">
        <v>0.62</v>
      </c>
      <c r="F10">
        <v>0.60799999999999998</v>
      </c>
      <c r="G10">
        <v>0.624</v>
      </c>
    </row>
    <row r="11" spans="1:17" x14ac:dyDescent="0.35">
      <c r="A11">
        <v>0</v>
      </c>
      <c r="B11">
        <v>4</v>
      </c>
      <c r="C11">
        <v>4</v>
      </c>
      <c r="D11">
        <v>1.7997750281214846</v>
      </c>
      <c r="E11">
        <v>0.40200000000000002</v>
      </c>
      <c r="F11">
        <v>0.38600000000000001</v>
      </c>
      <c r="G11">
        <v>0.41399999999999998</v>
      </c>
    </row>
    <row r="12" spans="1:17" x14ac:dyDescent="0.35">
      <c r="A12">
        <v>0</v>
      </c>
      <c r="B12">
        <v>4.5</v>
      </c>
      <c r="C12">
        <v>4.5</v>
      </c>
      <c r="D12">
        <v>2.0247469066366701</v>
      </c>
      <c r="E12">
        <v>0.23899999999999999</v>
      </c>
      <c r="F12">
        <v>0.23699999999999999</v>
      </c>
      <c r="G12">
        <v>0.24399999999999999</v>
      </c>
    </row>
    <row r="13" spans="1:17" x14ac:dyDescent="0.35">
      <c r="A13">
        <v>0</v>
      </c>
      <c r="B13">
        <v>5</v>
      </c>
      <c r="C13">
        <v>5</v>
      </c>
      <c r="D13">
        <v>2.2497187851518561</v>
      </c>
      <c r="E13">
        <v>0.214</v>
      </c>
      <c r="F13">
        <v>0.20499999999999999</v>
      </c>
      <c r="G13">
        <v>0.219</v>
      </c>
    </row>
    <row r="14" spans="1:17" x14ac:dyDescent="0.35">
      <c r="A14">
        <v>0</v>
      </c>
      <c r="B14">
        <v>5.5</v>
      </c>
      <c r="C14">
        <v>5.5</v>
      </c>
      <c r="D14">
        <v>2.4746906636670416</v>
      </c>
      <c r="E14">
        <v>0.11799999999999999</v>
      </c>
      <c r="F14">
        <v>0.11799999999999999</v>
      </c>
      <c r="G14">
        <v>0.122</v>
      </c>
    </row>
    <row r="15" spans="1:17" x14ac:dyDescent="0.35">
      <c r="A15">
        <v>0</v>
      </c>
      <c r="B15">
        <v>6</v>
      </c>
      <c r="C15">
        <v>6</v>
      </c>
      <c r="D15">
        <v>2.6996625421822271</v>
      </c>
      <c r="E15">
        <v>6.2E-2</v>
      </c>
      <c r="F15">
        <v>6.0999999999999999E-2</v>
      </c>
      <c r="G15">
        <v>6.3E-2</v>
      </c>
    </row>
    <row r="16" spans="1:17" x14ac:dyDescent="0.35">
      <c r="A16">
        <v>0</v>
      </c>
      <c r="B16">
        <v>6.5</v>
      </c>
      <c r="C16">
        <v>6.5</v>
      </c>
      <c r="D16">
        <v>2.9246344206974126</v>
      </c>
      <c r="E16">
        <v>3.1E-2</v>
      </c>
      <c r="F16">
        <v>0.03</v>
      </c>
      <c r="G16">
        <v>3.2000000000000001E-2</v>
      </c>
    </row>
    <row r="17" spans="1:12" x14ac:dyDescent="0.35">
      <c r="A17">
        <v>0</v>
      </c>
      <c r="B17">
        <v>7</v>
      </c>
      <c r="C17">
        <v>7</v>
      </c>
      <c r="D17">
        <v>3.1496062992125982</v>
      </c>
      <c r="E17">
        <v>1.2999999999999999E-2</v>
      </c>
      <c r="F17">
        <v>1.2E-2</v>
      </c>
      <c r="G17">
        <v>1.4E-2</v>
      </c>
    </row>
    <row r="18" spans="1:12" x14ac:dyDescent="0.35">
      <c r="A18">
        <v>0</v>
      </c>
      <c r="B18">
        <v>7.5</v>
      </c>
      <c r="C18">
        <v>7.5</v>
      </c>
      <c r="D18">
        <v>3.3745781777277837</v>
      </c>
      <c r="E18">
        <v>5.0000000000000001E-3</v>
      </c>
    </row>
    <row r="19" spans="1:12" x14ac:dyDescent="0.35">
      <c r="A19">
        <v>0</v>
      </c>
      <c r="B19">
        <v>8</v>
      </c>
      <c r="C19">
        <v>8</v>
      </c>
      <c r="D19">
        <v>3.5995500562429692</v>
      </c>
      <c r="E19">
        <v>6.0000000000000001E-3</v>
      </c>
    </row>
    <row r="20" spans="1:12" x14ac:dyDescent="0.35">
      <c r="A20">
        <v>0</v>
      </c>
      <c r="B20">
        <v>8.5</v>
      </c>
      <c r="C20">
        <v>8.5</v>
      </c>
      <c r="D20">
        <v>3.8245219347581552</v>
      </c>
      <c r="E20">
        <v>1.7000000000000001E-2</v>
      </c>
    </row>
    <row r="21" spans="1:12" x14ac:dyDescent="0.35">
      <c r="A21">
        <v>0</v>
      </c>
      <c r="B21">
        <v>9</v>
      </c>
      <c r="C21">
        <v>9</v>
      </c>
      <c r="D21">
        <v>4.0494938132733402</v>
      </c>
      <c r="E21">
        <v>1.7000000000000001E-2</v>
      </c>
    </row>
    <row r="22" spans="1:12" x14ac:dyDescent="0.35">
      <c r="A22">
        <v>0</v>
      </c>
      <c r="B22">
        <v>9.5</v>
      </c>
      <c r="C22">
        <v>9.5</v>
      </c>
      <c r="D22">
        <v>4.2744656917885262</v>
      </c>
      <c r="E22">
        <v>1.2999999999999999E-2</v>
      </c>
    </row>
    <row r="23" spans="1:12" x14ac:dyDescent="0.35">
      <c r="A23">
        <v>0</v>
      </c>
      <c r="B23">
        <v>10</v>
      </c>
      <c r="C23">
        <v>10</v>
      </c>
      <c r="D23">
        <v>4.4994375703037122</v>
      </c>
      <c r="E23">
        <v>8.9999999999999993E-3</v>
      </c>
    </row>
    <row r="24" spans="1:12" x14ac:dyDescent="0.35">
      <c r="A24">
        <v>0</v>
      </c>
      <c r="B24">
        <v>10.5</v>
      </c>
      <c r="C24">
        <v>10.5</v>
      </c>
      <c r="D24">
        <v>4.7244094488188972</v>
      </c>
      <c r="E24">
        <v>7.0000000000000001E-3</v>
      </c>
    </row>
    <row r="25" spans="1:12" x14ac:dyDescent="0.35">
      <c r="A25">
        <v>0</v>
      </c>
      <c r="B25">
        <v>11</v>
      </c>
      <c r="C25">
        <v>11</v>
      </c>
      <c r="D25">
        <v>4.9493813273340832</v>
      </c>
      <c r="E25">
        <v>8.9999999999999993E-3</v>
      </c>
    </row>
    <row r="26" spans="1:12" x14ac:dyDescent="0.35">
      <c r="A26">
        <v>0</v>
      </c>
      <c r="B26">
        <v>11.5</v>
      </c>
      <c r="C26">
        <v>11.5</v>
      </c>
      <c r="D26">
        <v>5.1743532058492683</v>
      </c>
      <c r="E26">
        <v>0.01</v>
      </c>
    </row>
    <row r="27" spans="1:12" x14ac:dyDescent="0.35">
      <c r="A27" s="3" t="s">
        <v>34</v>
      </c>
      <c r="B27" s="2"/>
      <c r="C27" s="2"/>
      <c r="D27" s="2"/>
      <c r="E27" s="2"/>
      <c r="F27" s="2"/>
      <c r="G27" s="2"/>
      <c r="H27" s="2"/>
      <c r="I27" s="1" t="s">
        <v>26</v>
      </c>
      <c r="J27" s="1" t="s">
        <v>27</v>
      </c>
      <c r="K27" s="1" t="s">
        <v>22</v>
      </c>
      <c r="L27" s="1" t="s">
        <v>23</v>
      </c>
    </row>
    <row r="28" spans="1:12" x14ac:dyDescent="0.35">
      <c r="A28">
        <v>0</v>
      </c>
      <c r="B28">
        <v>0</v>
      </c>
      <c r="C28" cm="1">
        <f t="array" ref="C28:C51">SQRT((A28:A51)^2 +(B28:B51)^2)</f>
        <v>0</v>
      </c>
      <c r="D28" cm="1">
        <f t="array" ref="D28:D51">_xlfn.ANCHORARRAY(C3)/(P2 * Q2)</f>
        <v>0</v>
      </c>
      <c r="E28">
        <v>3.1E-2</v>
      </c>
      <c r="F28">
        <v>2.9000000000000001E-2</v>
      </c>
      <c r="G28">
        <v>3.5999999999999997E-2</v>
      </c>
      <c r="I28">
        <v>15</v>
      </c>
      <c r="J28">
        <v>0</v>
      </c>
      <c r="K28">
        <v>5</v>
      </c>
      <c r="L28">
        <v>0.5</v>
      </c>
    </row>
    <row r="29" spans="1:12" x14ac:dyDescent="0.35">
      <c r="A29">
        <v>0</v>
      </c>
      <c r="B29">
        <v>0.5</v>
      </c>
      <c r="C29">
        <v>0.5</v>
      </c>
      <c r="D29">
        <v>0.22497187851518557</v>
      </c>
      <c r="E29">
        <v>0.28499999999999998</v>
      </c>
      <c r="F29">
        <v>0.27700000000000002</v>
      </c>
      <c r="G29">
        <v>0.29299999999999998</v>
      </c>
    </row>
    <row r="30" spans="1:12" x14ac:dyDescent="0.35">
      <c r="A30">
        <v>0</v>
      </c>
      <c r="B30">
        <v>1</v>
      </c>
      <c r="C30">
        <v>1</v>
      </c>
      <c r="D30">
        <v>0.44994375703037115</v>
      </c>
      <c r="E30">
        <v>0.50800000000000001</v>
      </c>
      <c r="F30">
        <v>0.48499999999999999</v>
      </c>
      <c r="G30">
        <v>0.51800000000000002</v>
      </c>
    </row>
    <row r="31" spans="1:12" x14ac:dyDescent="0.35">
      <c r="A31">
        <v>0</v>
      </c>
      <c r="B31">
        <v>1.5</v>
      </c>
      <c r="C31">
        <v>1.5</v>
      </c>
      <c r="D31">
        <v>0.67491563554555678</v>
      </c>
      <c r="E31">
        <v>0.71599999999999997</v>
      </c>
      <c r="F31">
        <v>0.71</v>
      </c>
      <c r="G31">
        <v>0.72499999999999998</v>
      </c>
    </row>
    <row r="32" spans="1:12" x14ac:dyDescent="0.35">
      <c r="A32">
        <v>0</v>
      </c>
      <c r="B32">
        <v>2</v>
      </c>
      <c r="C32">
        <v>2</v>
      </c>
      <c r="D32">
        <v>0.8998875140607423</v>
      </c>
      <c r="E32">
        <v>0.76400000000000001</v>
      </c>
      <c r="F32">
        <v>0.76300000000000001</v>
      </c>
      <c r="G32">
        <v>0.76700000000000002</v>
      </c>
    </row>
    <row r="33" spans="1:7" x14ac:dyDescent="0.35">
      <c r="A33">
        <v>0</v>
      </c>
      <c r="B33">
        <v>2.5</v>
      </c>
      <c r="C33">
        <v>2.5</v>
      </c>
      <c r="D33">
        <v>1.124859392575928</v>
      </c>
      <c r="E33">
        <v>0.64800000000000002</v>
      </c>
      <c r="F33">
        <v>0.63100000000000001</v>
      </c>
      <c r="G33">
        <v>0.66100000000000003</v>
      </c>
    </row>
    <row r="34" spans="1:7" x14ac:dyDescent="0.35">
      <c r="A34">
        <v>0</v>
      </c>
      <c r="B34">
        <v>3</v>
      </c>
      <c r="C34">
        <v>3</v>
      </c>
      <c r="D34">
        <v>1.3498312710911136</v>
      </c>
      <c r="E34">
        <v>0.59199999999999997</v>
      </c>
      <c r="F34">
        <v>0.57999999999999996</v>
      </c>
      <c r="G34">
        <v>0.61199999999999999</v>
      </c>
    </row>
    <row r="35" spans="1:7" x14ac:dyDescent="0.35">
      <c r="A35">
        <v>0</v>
      </c>
      <c r="B35">
        <v>3.5</v>
      </c>
      <c r="C35">
        <v>3.5</v>
      </c>
      <c r="D35">
        <v>1.5748031496062991</v>
      </c>
      <c r="E35">
        <v>0.33600000000000002</v>
      </c>
      <c r="F35">
        <v>0.32900000000000001</v>
      </c>
      <c r="G35">
        <v>0.34499999999999997</v>
      </c>
    </row>
    <row r="36" spans="1:7" x14ac:dyDescent="0.35">
      <c r="A36">
        <v>0</v>
      </c>
      <c r="B36">
        <v>4</v>
      </c>
      <c r="C36">
        <v>4</v>
      </c>
      <c r="D36">
        <v>1.7997750281214846</v>
      </c>
      <c r="E36">
        <v>0.219</v>
      </c>
      <c r="F36">
        <v>0.21099999999999999</v>
      </c>
      <c r="G36">
        <v>0.22500000000000001</v>
      </c>
    </row>
    <row r="37" spans="1:7" x14ac:dyDescent="0.35">
      <c r="A37">
        <v>0</v>
      </c>
      <c r="B37">
        <v>4.5</v>
      </c>
      <c r="C37">
        <v>4.5</v>
      </c>
      <c r="D37">
        <v>2.0247469066366701</v>
      </c>
      <c r="E37">
        <v>0.121</v>
      </c>
      <c r="F37">
        <v>0.114</v>
      </c>
      <c r="G37">
        <v>0.126</v>
      </c>
    </row>
    <row r="38" spans="1:7" x14ac:dyDescent="0.35">
      <c r="A38">
        <v>0</v>
      </c>
      <c r="B38">
        <v>5</v>
      </c>
      <c r="C38">
        <v>5</v>
      </c>
      <c r="D38">
        <v>2.2497187851518561</v>
      </c>
      <c r="E38">
        <v>6.4000000000000001E-2</v>
      </c>
      <c r="F38">
        <v>6.3E-2</v>
      </c>
      <c r="G38">
        <v>6.5000000000000002E-2</v>
      </c>
    </row>
    <row r="39" spans="1:7" x14ac:dyDescent="0.35">
      <c r="A39">
        <v>0</v>
      </c>
      <c r="B39">
        <v>5.5</v>
      </c>
      <c r="C39">
        <v>5.5</v>
      </c>
      <c r="D39">
        <v>2.4746906636670416</v>
      </c>
      <c r="E39">
        <v>4.2000000000000003E-2</v>
      </c>
      <c r="F39">
        <v>4.1000000000000002E-2</v>
      </c>
      <c r="G39">
        <v>4.2999999999999997E-2</v>
      </c>
    </row>
    <row r="40" spans="1:7" x14ac:dyDescent="0.35">
      <c r="A40">
        <v>0</v>
      </c>
      <c r="B40">
        <v>6</v>
      </c>
      <c r="C40">
        <v>6</v>
      </c>
      <c r="D40">
        <v>2.6996625421822271</v>
      </c>
      <c r="E40">
        <v>5.0000000000000001E-3</v>
      </c>
    </row>
    <row r="41" spans="1:7" x14ac:dyDescent="0.35">
      <c r="A41">
        <v>0</v>
      </c>
      <c r="B41">
        <v>6.5</v>
      </c>
      <c r="C41">
        <v>6.5</v>
      </c>
      <c r="D41">
        <v>2.9246344206974126</v>
      </c>
      <c r="E41">
        <v>3.0000000000000001E-3</v>
      </c>
    </row>
    <row r="42" spans="1:7" x14ac:dyDescent="0.35">
      <c r="A42">
        <v>0</v>
      </c>
      <c r="B42">
        <v>7</v>
      </c>
      <c r="C42">
        <v>7</v>
      </c>
      <c r="D42">
        <v>3.1496062992125982</v>
      </c>
      <c r="E42">
        <v>3.0000000000000001E-3</v>
      </c>
    </row>
    <row r="43" spans="1:7" x14ac:dyDescent="0.35">
      <c r="A43">
        <v>0</v>
      </c>
      <c r="B43">
        <v>7.5</v>
      </c>
      <c r="C43">
        <v>7.5</v>
      </c>
      <c r="D43">
        <v>3.3745781777277837</v>
      </c>
      <c r="E43">
        <v>8.9999999999999993E-3</v>
      </c>
    </row>
    <row r="44" spans="1:7" x14ac:dyDescent="0.35">
      <c r="A44">
        <v>0</v>
      </c>
      <c r="B44">
        <v>8</v>
      </c>
      <c r="C44">
        <v>8</v>
      </c>
      <c r="D44">
        <v>3.5995500562429692</v>
      </c>
      <c r="E44">
        <v>1.6E-2</v>
      </c>
    </row>
    <row r="45" spans="1:7" x14ac:dyDescent="0.35">
      <c r="A45">
        <v>0</v>
      </c>
      <c r="B45">
        <v>8.5</v>
      </c>
      <c r="C45">
        <v>8.5</v>
      </c>
      <c r="D45">
        <v>3.8245219347581552</v>
      </c>
      <c r="E45">
        <v>1.6E-2</v>
      </c>
    </row>
    <row r="46" spans="1:7" x14ac:dyDescent="0.35">
      <c r="A46">
        <v>0</v>
      </c>
      <c r="B46">
        <v>9</v>
      </c>
      <c r="C46">
        <v>9</v>
      </c>
      <c r="D46">
        <v>4.0494938132733402</v>
      </c>
      <c r="E46">
        <v>1.2E-2</v>
      </c>
    </row>
    <row r="47" spans="1:7" x14ac:dyDescent="0.35">
      <c r="A47">
        <v>0</v>
      </c>
      <c r="B47">
        <v>9.5</v>
      </c>
      <c r="C47">
        <v>9.5</v>
      </c>
      <c r="D47">
        <v>4.2744656917885262</v>
      </c>
      <c r="E47">
        <v>7.0000000000000001E-3</v>
      </c>
    </row>
    <row r="48" spans="1:7" x14ac:dyDescent="0.35">
      <c r="A48">
        <v>0</v>
      </c>
      <c r="B48">
        <v>10</v>
      </c>
      <c r="C48">
        <v>10</v>
      </c>
      <c r="D48">
        <v>4.4994375703037122</v>
      </c>
      <c r="E48">
        <v>5.0000000000000001E-3</v>
      </c>
    </row>
    <row r="49" spans="1:12" x14ac:dyDescent="0.35">
      <c r="A49">
        <v>0</v>
      </c>
      <c r="B49">
        <v>10.5</v>
      </c>
      <c r="C49">
        <v>10.5</v>
      </c>
      <c r="D49">
        <v>4.7244094488188972</v>
      </c>
      <c r="E49">
        <v>7.0000000000000001E-3</v>
      </c>
    </row>
    <row r="50" spans="1:12" x14ac:dyDescent="0.35">
      <c r="A50">
        <v>0</v>
      </c>
      <c r="B50">
        <v>11</v>
      </c>
      <c r="C50">
        <v>11</v>
      </c>
      <c r="D50">
        <v>4.9493813273340832</v>
      </c>
      <c r="E50">
        <v>8.9999999999999993E-3</v>
      </c>
    </row>
    <row r="51" spans="1:12" x14ac:dyDescent="0.35">
      <c r="A51">
        <v>0</v>
      </c>
      <c r="B51">
        <v>11.5</v>
      </c>
      <c r="C51">
        <v>11.5</v>
      </c>
      <c r="D51">
        <v>5.1743532058492683</v>
      </c>
      <c r="E51">
        <v>0.01</v>
      </c>
    </row>
    <row r="52" spans="1:12" x14ac:dyDescent="0.35">
      <c r="A52" s="3" t="s">
        <v>37</v>
      </c>
      <c r="B52" s="2"/>
      <c r="C52" s="2"/>
      <c r="D52" s="2"/>
      <c r="E52" s="2"/>
      <c r="F52" s="2"/>
      <c r="G52" s="2"/>
      <c r="H52" s="2"/>
      <c r="I52" s="1" t="s">
        <v>26</v>
      </c>
      <c r="J52" s="1" t="s">
        <v>27</v>
      </c>
      <c r="K52" s="1" t="s">
        <v>22</v>
      </c>
      <c r="L52" s="1" t="s">
        <v>23</v>
      </c>
    </row>
    <row r="53" spans="1:12" x14ac:dyDescent="0.35">
      <c r="A53">
        <v>0</v>
      </c>
      <c r="B53">
        <v>0</v>
      </c>
      <c r="C53" cm="1">
        <f t="array" ref="C53:C76">SQRT((A53:A76)^2 +(B53:B76)^2)</f>
        <v>0</v>
      </c>
      <c r="D53" cm="1">
        <f t="array" ref="D53:D76">_xlfn.ANCHORARRAY(C3)/(P2 * Q2)</f>
        <v>0</v>
      </c>
      <c r="E53">
        <v>2.5000000000000001E-2</v>
      </c>
      <c r="F53">
        <v>2.4E-2</v>
      </c>
      <c r="G53">
        <v>2.5999999999999999E-2</v>
      </c>
      <c r="I53">
        <v>15</v>
      </c>
      <c r="J53">
        <v>0</v>
      </c>
      <c r="K53">
        <v>5</v>
      </c>
      <c r="L53">
        <v>0.5</v>
      </c>
    </row>
    <row r="54" spans="1:12" x14ac:dyDescent="0.35">
      <c r="A54">
        <v>0</v>
      </c>
      <c r="B54">
        <v>0.5</v>
      </c>
      <c r="C54">
        <v>0.5</v>
      </c>
      <c r="D54">
        <v>0.22497187851518557</v>
      </c>
      <c r="E54">
        <v>0.23200000000000001</v>
      </c>
      <c r="F54">
        <v>0.221</v>
      </c>
      <c r="G54">
        <v>0.25</v>
      </c>
    </row>
    <row r="55" spans="1:12" x14ac:dyDescent="0.35">
      <c r="A55">
        <v>0</v>
      </c>
      <c r="B55">
        <v>1</v>
      </c>
      <c r="C55">
        <v>1</v>
      </c>
      <c r="D55">
        <v>0.44994375703037115</v>
      </c>
      <c r="E55">
        <v>0.44800000000000001</v>
      </c>
      <c r="F55">
        <v>0.441</v>
      </c>
      <c r="G55">
        <v>0.46500000000000002</v>
      </c>
    </row>
    <row r="56" spans="1:12" x14ac:dyDescent="0.35">
      <c r="A56">
        <v>0</v>
      </c>
      <c r="B56">
        <v>1.5</v>
      </c>
      <c r="C56">
        <v>1.5</v>
      </c>
      <c r="D56">
        <v>0.67491563554555678</v>
      </c>
      <c r="E56">
        <v>0.623</v>
      </c>
      <c r="F56">
        <v>0.61399999999999999</v>
      </c>
      <c r="G56">
        <v>0.63500000000000001</v>
      </c>
    </row>
    <row r="57" spans="1:12" x14ac:dyDescent="0.35">
      <c r="A57">
        <v>0</v>
      </c>
      <c r="B57">
        <v>2</v>
      </c>
      <c r="C57">
        <v>2</v>
      </c>
      <c r="D57">
        <v>0.8998875140607423</v>
      </c>
      <c r="E57">
        <v>0.73099999999999998</v>
      </c>
      <c r="F57">
        <v>0.72599999999999998</v>
      </c>
      <c r="G57">
        <v>0.73299999999999998</v>
      </c>
    </row>
    <row r="58" spans="1:12" x14ac:dyDescent="0.35">
      <c r="A58">
        <v>0</v>
      </c>
      <c r="B58">
        <v>2.5</v>
      </c>
      <c r="C58">
        <v>2.5</v>
      </c>
      <c r="D58">
        <v>1.124859392575928</v>
      </c>
      <c r="E58">
        <v>0.71899999999999997</v>
      </c>
      <c r="F58">
        <v>0.71399999999999997</v>
      </c>
      <c r="G58">
        <v>0.72199999999999998</v>
      </c>
    </row>
    <row r="59" spans="1:12" x14ac:dyDescent="0.35">
      <c r="A59">
        <v>0</v>
      </c>
      <c r="B59">
        <v>3</v>
      </c>
      <c r="C59">
        <v>3</v>
      </c>
      <c r="D59">
        <v>1.3498312710911136</v>
      </c>
      <c r="E59">
        <v>0.59799999999999998</v>
      </c>
      <c r="F59">
        <v>0.59399999999999997</v>
      </c>
      <c r="G59">
        <v>0.61</v>
      </c>
    </row>
    <row r="60" spans="1:12" x14ac:dyDescent="0.35">
      <c r="A60">
        <v>0</v>
      </c>
      <c r="B60">
        <v>3.5</v>
      </c>
      <c r="C60">
        <v>3.5</v>
      </c>
      <c r="D60">
        <v>1.5748031496062991</v>
      </c>
      <c r="E60">
        <v>0.42699999999999999</v>
      </c>
      <c r="F60">
        <v>0.41799999999999998</v>
      </c>
      <c r="G60">
        <v>0.44</v>
      </c>
    </row>
    <row r="61" spans="1:12" x14ac:dyDescent="0.35">
      <c r="A61">
        <v>0</v>
      </c>
      <c r="B61">
        <v>4</v>
      </c>
      <c r="C61">
        <v>4</v>
      </c>
      <c r="D61">
        <v>1.7997750281214846</v>
      </c>
      <c r="E61">
        <v>0.29399999999999998</v>
      </c>
      <c r="F61">
        <v>0.28100000000000003</v>
      </c>
      <c r="G61">
        <v>0.30599999999999999</v>
      </c>
    </row>
    <row r="62" spans="1:12" x14ac:dyDescent="0.35">
      <c r="A62">
        <v>0</v>
      </c>
      <c r="B62">
        <v>4.5</v>
      </c>
      <c r="C62">
        <v>4.5</v>
      </c>
      <c r="D62">
        <v>2.0247469066366701</v>
      </c>
      <c r="E62">
        <v>0.28899999999999998</v>
      </c>
      <c r="F62">
        <v>0.27700000000000002</v>
      </c>
      <c r="G62">
        <v>0.30099999999999999</v>
      </c>
    </row>
    <row r="63" spans="1:12" x14ac:dyDescent="0.35">
      <c r="A63">
        <v>0</v>
      </c>
      <c r="B63">
        <v>5</v>
      </c>
      <c r="C63">
        <v>5</v>
      </c>
      <c r="D63">
        <v>2.2497187851518561</v>
      </c>
      <c r="E63">
        <v>0.19500000000000001</v>
      </c>
      <c r="F63">
        <v>0.188</v>
      </c>
      <c r="G63">
        <v>0.19900000000000001</v>
      </c>
    </row>
    <row r="64" spans="1:12" x14ac:dyDescent="0.35">
      <c r="A64">
        <v>0</v>
      </c>
      <c r="B64">
        <v>5.5</v>
      </c>
      <c r="C64">
        <v>5.5</v>
      </c>
      <c r="D64">
        <v>2.4746906636670416</v>
      </c>
      <c r="E64">
        <v>0.11</v>
      </c>
      <c r="F64">
        <v>0.107</v>
      </c>
      <c r="G64">
        <v>0.115</v>
      </c>
    </row>
    <row r="65" spans="1:7" x14ac:dyDescent="0.35">
      <c r="A65">
        <v>0</v>
      </c>
      <c r="B65">
        <v>6</v>
      </c>
      <c r="C65">
        <v>6</v>
      </c>
      <c r="D65">
        <v>2.6996625421822271</v>
      </c>
      <c r="E65">
        <v>6.3E-2</v>
      </c>
      <c r="F65">
        <v>6.2E-2</v>
      </c>
      <c r="G65">
        <v>6.9000000000000006E-2</v>
      </c>
    </row>
    <row r="66" spans="1:7" x14ac:dyDescent="0.35">
      <c r="A66">
        <v>0</v>
      </c>
      <c r="B66">
        <v>6.5</v>
      </c>
      <c r="C66">
        <v>6.5</v>
      </c>
      <c r="D66">
        <v>2.9246344206974126</v>
      </c>
      <c r="E66">
        <v>3.1E-2</v>
      </c>
      <c r="F66">
        <v>2.9000000000000001E-2</v>
      </c>
      <c r="G66">
        <v>3.2000000000000001E-2</v>
      </c>
    </row>
    <row r="67" spans="1:7" x14ac:dyDescent="0.35">
      <c r="A67">
        <v>0</v>
      </c>
      <c r="B67">
        <v>7</v>
      </c>
      <c r="C67">
        <v>7</v>
      </c>
      <c r="D67">
        <v>3.1496062992125982</v>
      </c>
      <c r="E67">
        <v>1.4999999999999999E-2</v>
      </c>
      <c r="F67">
        <v>1.2999999999999999E-2</v>
      </c>
      <c r="G67">
        <v>1.6E-2</v>
      </c>
    </row>
    <row r="68" spans="1:7" x14ac:dyDescent="0.35">
      <c r="A68">
        <v>0</v>
      </c>
      <c r="B68">
        <v>7.5</v>
      </c>
      <c r="C68">
        <v>7.5</v>
      </c>
      <c r="D68">
        <v>3.3745781777277837</v>
      </c>
      <c r="E68">
        <v>2E-3</v>
      </c>
    </row>
    <row r="69" spans="1:7" x14ac:dyDescent="0.35">
      <c r="A69">
        <v>0</v>
      </c>
      <c r="B69">
        <v>8</v>
      </c>
      <c r="C69">
        <v>8</v>
      </c>
      <c r="D69">
        <v>3.5995500562429692</v>
      </c>
      <c r="E69">
        <v>7.0000000000000001E-3</v>
      </c>
    </row>
    <row r="70" spans="1:7" x14ac:dyDescent="0.35">
      <c r="A70">
        <v>0</v>
      </c>
      <c r="B70">
        <v>8.5</v>
      </c>
      <c r="C70">
        <v>8.5</v>
      </c>
      <c r="D70">
        <v>3.8245219347581552</v>
      </c>
      <c r="E70">
        <v>1.4E-2</v>
      </c>
    </row>
    <row r="71" spans="1:7" x14ac:dyDescent="0.35">
      <c r="A71">
        <v>0</v>
      </c>
      <c r="B71">
        <v>9</v>
      </c>
      <c r="C71">
        <v>9</v>
      </c>
      <c r="D71">
        <v>4.0494938132733402</v>
      </c>
      <c r="E71">
        <v>1.4999999999999999E-2</v>
      </c>
    </row>
    <row r="72" spans="1:7" x14ac:dyDescent="0.35">
      <c r="A72">
        <v>0</v>
      </c>
      <c r="B72">
        <v>9.5</v>
      </c>
      <c r="C72">
        <v>9.5</v>
      </c>
      <c r="D72">
        <v>4.2744656917885262</v>
      </c>
      <c r="E72">
        <v>1.0999999999999999E-2</v>
      </c>
    </row>
    <row r="73" spans="1:7" x14ac:dyDescent="0.35">
      <c r="A73">
        <v>0</v>
      </c>
      <c r="B73">
        <v>10</v>
      </c>
      <c r="C73">
        <v>10</v>
      </c>
      <c r="D73">
        <v>4.4994375703037122</v>
      </c>
      <c r="E73">
        <v>8.0000000000000002E-3</v>
      </c>
    </row>
    <row r="74" spans="1:7" x14ac:dyDescent="0.35">
      <c r="A74">
        <v>0</v>
      </c>
      <c r="B74">
        <v>10.5</v>
      </c>
      <c r="C74">
        <v>10.5</v>
      </c>
      <c r="D74">
        <v>4.7244094488188972</v>
      </c>
      <c r="E74">
        <v>6.0000000000000001E-3</v>
      </c>
    </row>
    <row r="75" spans="1:7" x14ac:dyDescent="0.35">
      <c r="A75">
        <v>0</v>
      </c>
      <c r="B75">
        <v>11</v>
      </c>
      <c r="C75">
        <v>11</v>
      </c>
      <c r="D75">
        <v>4.9493813273340832</v>
      </c>
      <c r="E75">
        <v>7.0000000000000001E-3</v>
      </c>
    </row>
    <row r="76" spans="1:7" x14ac:dyDescent="0.35">
      <c r="A76">
        <v>0</v>
      </c>
      <c r="B76">
        <v>11.5</v>
      </c>
      <c r="C76">
        <v>11.5</v>
      </c>
      <c r="D76">
        <v>5.1743532058492683</v>
      </c>
      <c r="E76">
        <v>8.0000000000000002E-3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86290-91F6-478A-AD79-35A4DA01DEE6}">
  <dimension ref="A1:K76"/>
  <sheetViews>
    <sheetView workbookViewId="0">
      <selection activeCell="D6" sqref="D6"/>
    </sheetView>
  </sheetViews>
  <sheetFormatPr defaultRowHeight="14.5" x14ac:dyDescent="0.35"/>
  <cols>
    <col min="5" max="5" width="14.36328125" customWidth="1"/>
    <col min="6" max="6" width="14" customWidth="1"/>
    <col min="7" max="7" width="30.36328125" customWidth="1"/>
  </cols>
  <sheetData>
    <row r="1" spans="1:11" x14ac:dyDescent="0.35">
      <c r="A1" s="1" t="s">
        <v>0</v>
      </c>
      <c r="B1" s="1" t="s">
        <v>1</v>
      </c>
      <c r="C1" s="1" t="s">
        <v>21</v>
      </c>
      <c r="D1" s="1" t="s">
        <v>2</v>
      </c>
      <c r="E1" s="1" t="s">
        <v>24</v>
      </c>
      <c r="F1" s="1" t="s">
        <v>25</v>
      </c>
      <c r="G1" s="1" t="s">
        <v>3</v>
      </c>
    </row>
    <row r="2" spans="1:11" x14ac:dyDescent="0.35">
      <c r="A2" s="3" t="s">
        <v>28</v>
      </c>
      <c r="B2" s="2"/>
      <c r="C2" s="2"/>
      <c r="D2" s="2"/>
      <c r="E2" s="2"/>
      <c r="F2" s="2"/>
      <c r="G2" s="2"/>
      <c r="H2" s="1" t="s">
        <v>26</v>
      </c>
      <c r="I2" s="1" t="s">
        <v>27</v>
      </c>
      <c r="J2" s="1" t="s">
        <v>22</v>
      </c>
      <c r="K2" s="1" t="s">
        <v>23</v>
      </c>
    </row>
    <row r="3" spans="1:11" x14ac:dyDescent="0.35">
      <c r="A3">
        <v>0</v>
      </c>
      <c r="B3">
        <v>0</v>
      </c>
      <c r="C3" cm="1">
        <f t="array" ref="C3:C26">SQRT((A3:A26)^2 +(B3:B26)^2)</f>
        <v>0</v>
      </c>
      <c r="D3">
        <v>1.4E-2</v>
      </c>
      <c r="H3">
        <v>15</v>
      </c>
      <c r="I3">
        <v>0</v>
      </c>
      <c r="J3">
        <v>5</v>
      </c>
      <c r="K3">
        <v>-0.5</v>
      </c>
    </row>
    <row r="4" spans="1:11" x14ac:dyDescent="0.35">
      <c r="A4">
        <v>0</v>
      </c>
      <c r="B4">
        <v>0.5</v>
      </c>
      <c r="C4">
        <v>0.5</v>
      </c>
      <c r="D4">
        <v>0.05</v>
      </c>
      <c r="E4">
        <v>4.9000000000000002E-2</v>
      </c>
      <c r="F4">
        <v>5.1999999999999998E-2</v>
      </c>
    </row>
    <row r="5" spans="1:11" x14ac:dyDescent="0.35">
      <c r="A5">
        <v>0</v>
      </c>
      <c r="B5">
        <v>1</v>
      </c>
      <c r="C5">
        <v>1</v>
      </c>
      <c r="D5">
        <v>4.2999999999999997E-2</v>
      </c>
      <c r="E5">
        <v>4.1000000000000002E-2</v>
      </c>
      <c r="F5">
        <v>4.5999999999999999E-2</v>
      </c>
    </row>
    <row r="6" spans="1:11" x14ac:dyDescent="0.35">
      <c r="A6">
        <v>0</v>
      </c>
      <c r="B6">
        <v>1.5</v>
      </c>
      <c r="C6">
        <v>1.5</v>
      </c>
    </row>
    <row r="7" spans="1:11" x14ac:dyDescent="0.35">
      <c r="A7">
        <v>0</v>
      </c>
      <c r="B7">
        <v>2</v>
      </c>
      <c r="C7">
        <v>2</v>
      </c>
    </row>
    <row r="8" spans="1:11" x14ac:dyDescent="0.35">
      <c r="A8">
        <v>0</v>
      </c>
      <c r="B8">
        <v>2.5</v>
      </c>
      <c r="C8">
        <v>2.5</v>
      </c>
    </row>
    <row r="9" spans="1:11" x14ac:dyDescent="0.35">
      <c r="A9">
        <v>0</v>
      </c>
      <c r="B9">
        <v>3</v>
      </c>
      <c r="C9">
        <v>3</v>
      </c>
    </row>
    <row r="10" spans="1:11" x14ac:dyDescent="0.35">
      <c r="A10">
        <v>0</v>
      </c>
      <c r="B10">
        <v>3.5</v>
      </c>
      <c r="C10">
        <v>3.5</v>
      </c>
    </row>
    <row r="11" spans="1:11" x14ac:dyDescent="0.35">
      <c r="A11">
        <v>0</v>
      </c>
      <c r="B11">
        <v>4</v>
      </c>
      <c r="C11">
        <v>4</v>
      </c>
    </row>
    <row r="12" spans="1:11" x14ac:dyDescent="0.35">
      <c r="A12">
        <v>0</v>
      </c>
      <c r="B12">
        <v>4.5</v>
      </c>
      <c r="C12">
        <v>4.5</v>
      </c>
    </row>
    <row r="13" spans="1:11" x14ac:dyDescent="0.35">
      <c r="A13">
        <v>0</v>
      </c>
      <c r="B13">
        <v>5</v>
      </c>
      <c r="C13">
        <v>5</v>
      </c>
    </row>
    <row r="14" spans="1:11" x14ac:dyDescent="0.35">
      <c r="A14">
        <v>0</v>
      </c>
      <c r="B14">
        <v>5.5</v>
      </c>
      <c r="C14">
        <v>5.5</v>
      </c>
    </row>
    <row r="15" spans="1:11" x14ac:dyDescent="0.35">
      <c r="A15">
        <v>0</v>
      </c>
      <c r="B15">
        <v>6</v>
      </c>
      <c r="C15">
        <v>6</v>
      </c>
    </row>
    <row r="16" spans="1:11" x14ac:dyDescent="0.35">
      <c r="A16">
        <v>0</v>
      </c>
      <c r="B16">
        <v>6.5</v>
      </c>
      <c r="C16">
        <v>6.5</v>
      </c>
    </row>
    <row r="17" spans="1:11" x14ac:dyDescent="0.35">
      <c r="A17">
        <v>0</v>
      </c>
      <c r="B17">
        <v>7</v>
      </c>
      <c r="C17">
        <v>7</v>
      </c>
    </row>
    <row r="18" spans="1:11" x14ac:dyDescent="0.35">
      <c r="A18">
        <v>0</v>
      </c>
      <c r="B18">
        <v>7.5</v>
      </c>
      <c r="C18">
        <v>7.5</v>
      </c>
    </row>
    <row r="19" spans="1:11" x14ac:dyDescent="0.35">
      <c r="A19">
        <v>0</v>
      </c>
      <c r="B19">
        <v>8</v>
      </c>
      <c r="C19">
        <v>8</v>
      </c>
    </row>
    <row r="20" spans="1:11" x14ac:dyDescent="0.35">
      <c r="A20">
        <v>0</v>
      </c>
      <c r="B20">
        <v>8.5</v>
      </c>
      <c r="C20">
        <v>8.5</v>
      </c>
    </row>
    <row r="21" spans="1:11" x14ac:dyDescent="0.35">
      <c r="A21">
        <v>0</v>
      </c>
      <c r="B21">
        <v>9</v>
      </c>
      <c r="C21">
        <v>9</v>
      </c>
    </row>
    <row r="22" spans="1:11" x14ac:dyDescent="0.35">
      <c r="A22">
        <v>0</v>
      </c>
      <c r="B22">
        <v>9.5</v>
      </c>
      <c r="C22">
        <v>9.5</v>
      </c>
    </row>
    <row r="23" spans="1:11" x14ac:dyDescent="0.35">
      <c r="A23">
        <v>0</v>
      </c>
      <c r="B23">
        <v>10</v>
      </c>
      <c r="C23">
        <v>10</v>
      </c>
    </row>
    <row r="24" spans="1:11" x14ac:dyDescent="0.35">
      <c r="A24">
        <v>0</v>
      </c>
      <c r="B24">
        <v>10.5</v>
      </c>
      <c r="C24">
        <v>10.5</v>
      </c>
    </row>
    <row r="25" spans="1:11" x14ac:dyDescent="0.35">
      <c r="A25">
        <v>0</v>
      </c>
      <c r="B25">
        <v>11</v>
      </c>
      <c r="C25">
        <v>11</v>
      </c>
    </row>
    <row r="26" spans="1:11" x14ac:dyDescent="0.35">
      <c r="A26">
        <v>0</v>
      </c>
      <c r="B26">
        <v>11.5</v>
      </c>
      <c r="C26">
        <v>11.5</v>
      </c>
    </row>
    <row r="27" spans="1:11" x14ac:dyDescent="0.35">
      <c r="A27" s="3" t="s">
        <v>34</v>
      </c>
      <c r="B27" s="2"/>
      <c r="C27" s="2"/>
      <c r="D27" s="2"/>
      <c r="E27" s="2"/>
      <c r="F27" s="2"/>
      <c r="G27" s="2"/>
      <c r="H27" s="1" t="s">
        <v>26</v>
      </c>
      <c r="I27" s="1" t="s">
        <v>27</v>
      </c>
      <c r="J27" s="1" t="s">
        <v>22</v>
      </c>
      <c r="K27" s="1" t="s">
        <v>23</v>
      </c>
    </row>
    <row r="28" spans="1:11" x14ac:dyDescent="0.35">
      <c r="A28">
        <v>0</v>
      </c>
      <c r="B28">
        <v>0</v>
      </c>
      <c r="C28" cm="1">
        <f t="array" ref="C28:C51">SQRT((A28:A51)^2 +(B28:B51)^2)</f>
        <v>0</v>
      </c>
      <c r="H28">
        <v>15</v>
      </c>
      <c r="I28">
        <v>0</v>
      </c>
      <c r="J28">
        <v>5</v>
      </c>
      <c r="K28">
        <v>-0.5</v>
      </c>
    </row>
    <row r="29" spans="1:11" x14ac:dyDescent="0.35">
      <c r="A29">
        <v>0</v>
      </c>
      <c r="B29">
        <v>0.5</v>
      </c>
      <c r="C29">
        <v>0.5</v>
      </c>
    </row>
    <row r="30" spans="1:11" x14ac:dyDescent="0.35">
      <c r="A30">
        <v>0</v>
      </c>
      <c r="B30">
        <v>1</v>
      </c>
      <c r="C30">
        <v>1</v>
      </c>
    </row>
    <row r="31" spans="1:11" x14ac:dyDescent="0.35">
      <c r="A31">
        <v>0</v>
      </c>
      <c r="B31">
        <v>1.5</v>
      </c>
      <c r="C31">
        <v>1.5</v>
      </c>
    </row>
    <row r="32" spans="1:11" x14ac:dyDescent="0.35">
      <c r="A32">
        <v>0</v>
      </c>
      <c r="B32">
        <v>2</v>
      </c>
      <c r="C32">
        <v>2</v>
      </c>
    </row>
    <row r="33" spans="1:3" x14ac:dyDescent="0.35">
      <c r="A33">
        <v>0</v>
      </c>
      <c r="B33">
        <v>2.5</v>
      </c>
      <c r="C33">
        <v>2.5</v>
      </c>
    </row>
    <row r="34" spans="1:3" x14ac:dyDescent="0.35">
      <c r="A34">
        <v>0</v>
      </c>
      <c r="B34">
        <v>3</v>
      </c>
      <c r="C34">
        <v>3</v>
      </c>
    </row>
    <row r="35" spans="1:3" x14ac:dyDescent="0.35">
      <c r="A35">
        <v>0</v>
      </c>
      <c r="B35">
        <v>3.5</v>
      </c>
      <c r="C35">
        <v>3.5</v>
      </c>
    </row>
    <row r="36" spans="1:3" x14ac:dyDescent="0.35">
      <c r="A36">
        <v>0</v>
      </c>
      <c r="B36">
        <v>4</v>
      </c>
      <c r="C36">
        <v>4</v>
      </c>
    </row>
    <row r="37" spans="1:3" x14ac:dyDescent="0.35">
      <c r="A37">
        <v>0</v>
      </c>
      <c r="B37">
        <v>4.5</v>
      </c>
      <c r="C37">
        <v>4.5</v>
      </c>
    </row>
    <row r="38" spans="1:3" x14ac:dyDescent="0.35">
      <c r="A38">
        <v>0</v>
      </c>
      <c r="B38">
        <v>5</v>
      </c>
      <c r="C38">
        <v>5</v>
      </c>
    </row>
    <row r="39" spans="1:3" x14ac:dyDescent="0.35">
      <c r="A39">
        <v>0</v>
      </c>
      <c r="B39">
        <v>5.5</v>
      </c>
      <c r="C39">
        <v>5.5</v>
      </c>
    </row>
    <row r="40" spans="1:3" x14ac:dyDescent="0.35">
      <c r="A40">
        <v>0</v>
      </c>
      <c r="B40">
        <v>6</v>
      </c>
      <c r="C40">
        <v>6</v>
      </c>
    </row>
    <row r="41" spans="1:3" x14ac:dyDescent="0.35">
      <c r="A41">
        <v>0</v>
      </c>
      <c r="B41">
        <v>6.5</v>
      </c>
      <c r="C41">
        <v>6.5</v>
      </c>
    </row>
    <row r="42" spans="1:3" x14ac:dyDescent="0.35">
      <c r="A42">
        <v>0</v>
      </c>
      <c r="B42">
        <v>7</v>
      </c>
      <c r="C42">
        <v>7</v>
      </c>
    </row>
    <row r="43" spans="1:3" x14ac:dyDescent="0.35">
      <c r="A43">
        <v>0</v>
      </c>
      <c r="B43">
        <v>7.5</v>
      </c>
      <c r="C43">
        <v>7.5</v>
      </c>
    </row>
    <row r="44" spans="1:3" x14ac:dyDescent="0.35">
      <c r="A44">
        <v>0</v>
      </c>
      <c r="B44">
        <v>8</v>
      </c>
      <c r="C44">
        <v>8</v>
      </c>
    </row>
    <row r="45" spans="1:3" x14ac:dyDescent="0.35">
      <c r="A45">
        <v>0</v>
      </c>
      <c r="B45">
        <v>8.5</v>
      </c>
      <c r="C45">
        <v>8.5</v>
      </c>
    </row>
    <row r="46" spans="1:3" x14ac:dyDescent="0.35">
      <c r="A46">
        <v>0</v>
      </c>
      <c r="B46">
        <v>9</v>
      </c>
      <c r="C46">
        <v>9</v>
      </c>
    </row>
    <row r="47" spans="1:3" x14ac:dyDescent="0.35">
      <c r="A47">
        <v>0</v>
      </c>
      <c r="B47">
        <v>9.5</v>
      </c>
      <c r="C47">
        <v>9.5</v>
      </c>
    </row>
    <row r="48" spans="1:3" x14ac:dyDescent="0.35">
      <c r="A48">
        <v>0</v>
      </c>
      <c r="B48">
        <v>10</v>
      </c>
      <c r="C48">
        <v>10</v>
      </c>
    </row>
    <row r="49" spans="1:11" x14ac:dyDescent="0.35">
      <c r="A49">
        <v>0</v>
      </c>
      <c r="B49">
        <v>10.5</v>
      </c>
      <c r="C49">
        <v>10.5</v>
      </c>
    </row>
    <row r="50" spans="1:11" x14ac:dyDescent="0.35">
      <c r="A50">
        <v>0</v>
      </c>
      <c r="B50">
        <v>11</v>
      </c>
      <c r="C50">
        <v>11</v>
      </c>
    </row>
    <row r="51" spans="1:11" x14ac:dyDescent="0.35">
      <c r="A51">
        <v>0</v>
      </c>
      <c r="B51">
        <v>11.5</v>
      </c>
      <c r="C51">
        <v>11.5</v>
      </c>
    </row>
    <row r="52" spans="1:11" x14ac:dyDescent="0.35">
      <c r="A52" s="3" t="s">
        <v>37</v>
      </c>
      <c r="B52" s="2"/>
      <c r="C52" s="2"/>
      <c r="D52" s="2"/>
      <c r="E52" s="2"/>
      <c r="F52" s="2"/>
      <c r="G52" s="2"/>
      <c r="H52" s="1" t="s">
        <v>26</v>
      </c>
      <c r="I52" s="1" t="s">
        <v>27</v>
      </c>
      <c r="J52" s="1" t="s">
        <v>22</v>
      </c>
      <c r="K52" s="1" t="s">
        <v>23</v>
      </c>
    </row>
    <row r="53" spans="1:11" x14ac:dyDescent="0.35">
      <c r="A53">
        <v>0</v>
      </c>
      <c r="B53">
        <v>0</v>
      </c>
      <c r="C53" cm="1">
        <f t="array" ref="C53:C76">SQRT((A53:A76)^2 +(B53:B76)^2)</f>
        <v>0</v>
      </c>
      <c r="H53">
        <v>15</v>
      </c>
      <c r="I53">
        <v>0</v>
      </c>
      <c r="J53">
        <v>5</v>
      </c>
      <c r="K53">
        <v>-0.5</v>
      </c>
    </row>
    <row r="54" spans="1:11" x14ac:dyDescent="0.35">
      <c r="A54">
        <v>0</v>
      </c>
      <c r="B54">
        <v>0.5</v>
      </c>
      <c r="C54">
        <v>0.5</v>
      </c>
    </row>
    <row r="55" spans="1:11" x14ac:dyDescent="0.35">
      <c r="A55">
        <v>0</v>
      </c>
      <c r="B55">
        <v>1</v>
      </c>
      <c r="C55">
        <v>1</v>
      </c>
    </row>
    <row r="56" spans="1:11" x14ac:dyDescent="0.35">
      <c r="A56">
        <v>0</v>
      </c>
      <c r="B56">
        <v>1.5</v>
      </c>
      <c r="C56">
        <v>1.5</v>
      </c>
    </row>
    <row r="57" spans="1:11" x14ac:dyDescent="0.35">
      <c r="A57">
        <v>0</v>
      </c>
      <c r="B57">
        <v>2</v>
      </c>
      <c r="C57">
        <v>2</v>
      </c>
    </row>
    <row r="58" spans="1:11" x14ac:dyDescent="0.35">
      <c r="A58">
        <v>0</v>
      </c>
      <c r="B58">
        <v>2.5</v>
      </c>
      <c r="C58">
        <v>2.5</v>
      </c>
    </row>
    <row r="59" spans="1:11" x14ac:dyDescent="0.35">
      <c r="A59">
        <v>0</v>
      </c>
      <c r="B59">
        <v>3</v>
      </c>
      <c r="C59">
        <v>3</v>
      </c>
    </row>
    <row r="60" spans="1:11" x14ac:dyDescent="0.35">
      <c r="A60">
        <v>0</v>
      </c>
      <c r="B60">
        <v>3.5</v>
      </c>
      <c r="C60">
        <v>3.5</v>
      </c>
    </row>
    <row r="61" spans="1:11" x14ac:dyDescent="0.35">
      <c r="A61">
        <v>0</v>
      </c>
      <c r="B61">
        <v>4</v>
      </c>
      <c r="C61">
        <v>4</v>
      </c>
    </row>
    <row r="62" spans="1:11" x14ac:dyDescent="0.35">
      <c r="A62">
        <v>0</v>
      </c>
      <c r="B62">
        <v>4.5</v>
      </c>
      <c r="C62">
        <v>4.5</v>
      </c>
    </row>
    <row r="63" spans="1:11" x14ac:dyDescent="0.35">
      <c r="A63">
        <v>0</v>
      </c>
      <c r="B63">
        <v>5</v>
      </c>
      <c r="C63">
        <v>5</v>
      </c>
    </row>
    <row r="64" spans="1:11" x14ac:dyDescent="0.35">
      <c r="A64">
        <v>0</v>
      </c>
      <c r="B64">
        <v>5.5</v>
      </c>
      <c r="C64">
        <v>5.5</v>
      </c>
    </row>
    <row r="65" spans="1:3" x14ac:dyDescent="0.35">
      <c r="A65">
        <v>0</v>
      </c>
      <c r="B65">
        <v>6</v>
      </c>
      <c r="C65">
        <v>6</v>
      </c>
    </row>
    <row r="66" spans="1:3" x14ac:dyDescent="0.35">
      <c r="A66">
        <v>0</v>
      </c>
      <c r="B66">
        <v>6.5</v>
      </c>
      <c r="C66">
        <v>6.5</v>
      </c>
    </row>
    <row r="67" spans="1:3" x14ac:dyDescent="0.35">
      <c r="A67">
        <v>0</v>
      </c>
      <c r="B67">
        <v>7</v>
      </c>
      <c r="C67">
        <v>7</v>
      </c>
    </row>
    <row r="68" spans="1:3" x14ac:dyDescent="0.35">
      <c r="A68">
        <v>0</v>
      </c>
      <c r="B68">
        <v>7.5</v>
      </c>
      <c r="C68">
        <v>7.5</v>
      </c>
    </row>
    <row r="69" spans="1:3" x14ac:dyDescent="0.35">
      <c r="A69">
        <v>0</v>
      </c>
      <c r="B69">
        <v>8</v>
      </c>
      <c r="C69">
        <v>8</v>
      </c>
    </row>
    <row r="70" spans="1:3" x14ac:dyDescent="0.35">
      <c r="A70">
        <v>0</v>
      </c>
      <c r="B70">
        <v>8.5</v>
      </c>
      <c r="C70">
        <v>8.5</v>
      </c>
    </row>
    <row r="71" spans="1:3" x14ac:dyDescent="0.35">
      <c r="A71">
        <v>0</v>
      </c>
      <c r="B71">
        <v>9</v>
      </c>
      <c r="C71">
        <v>9</v>
      </c>
    </row>
    <row r="72" spans="1:3" x14ac:dyDescent="0.35">
      <c r="A72">
        <v>0</v>
      </c>
      <c r="B72">
        <v>9.5</v>
      </c>
      <c r="C72">
        <v>9.5</v>
      </c>
    </row>
    <row r="73" spans="1:3" x14ac:dyDescent="0.35">
      <c r="A73">
        <v>0</v>
      </c>
      <c r="B73">
        <v>10</v>
      </c>
      <c r="C73">
        <v>10</v>
      </c>
    </row>
    <row r="74" spans="1:3" x14ac:dyDescent="0.35">
      <c r="A74">
        <v>0</v>
      </c>
      <c r="B74">
        <v>10.5</v>
      </c>
      <c r="C74">
        <v>10.5</v>
      </c>
    </row>
    <row r="75" spans="1:3" x14ac:dyDescent="0.35">
      <c r="A75">
        <v>0</v>
      </c>
      <c r="B75">
        <v>11</v>
      </c>
      <c r="C75">
        <v>11</v>
      </c>
    </row>
    <row r="76" spans="1:3" x14ac:dyDescent="0.35">
      <c r="A76">
        <v>0</v>
      </c>
      <c r="B76">
        <v>11.5</v>
      </c>
      <c r="C76">
        <v>11.5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51507-1FF1-447F-8675-E587ED41429C}">
  <dimension ref="A1:K449"/>
  <sheetViews>
    <sheetView tabSelected="1" topLeftCell="A277" workbookViewId="0">
      <selection activeCell="F449" sqref="D281:F449"/>
    </sheetView>
  </sheetViews>
  <sheetFormatPr defaultRowHeight="14.5" x14ac:dyDescent="0.35"/>
  <cols>
    <col min="4" max="4" width="15.7265625" customWidth="1"/>
    <col min="6" max="6" width="12.90625" customWidth="1"/>
    <col min="7" max="8" width="13.81640625" customWidth="1"/>
  </cols>
  <sheetData>
    <row r="1" spans="1:8" x14ac:dyDescent="0.35">
      <c r="A1" s="1" t="s">
        <v>0</v>
      </c>
      <c r="B1" s="1" t="s">
        <v>1</v>
      </c>
      <c r="C1" s="1" t="s">
        <v>42</v>
      </c>
      <c r="D1" s="1" t="s">
        <v>41</v>
      </c>
      <c r="E1" s="1" t="s">
        <v>2</v>
      </c>
      <c r="F1" s="1" t="s">
        <v>24</v>
      </c>
      <c r="G1" s="1" t="s">
        <v>25</v>
      </c>
      <c r="H1" s="1" t="s">
        <v>3</v>
      </c>
    </row>
    <row r="2" spans="1:8" x14ac:dyDescent="0.35">
      <c r="A2" s="3" t="s">
        <v>28</v>
      </c>
      <c r="B2" s="2"/>
      <c r="C2" s="2"/>
      <c r="D2" s="2"/>
      <c r="E2" s="2"/>
      <c r="F2" s="2"/>
      <c r="G2" s="2"/>
      <c r="H2" s="2"/>
    </row>
    <row r="3" spans="1:8" x14ac:dyDescent="0.35">
      <c r="A3">
        <v>2</v>
      </c>
      <c r="B3">
        <v>0</v>
      </c>
      <c r="E3">
        <v>3.0000000000000001E-3</v>
      </c>
    </row>
    <row r="4" spans="1:8" x14ac:dyDescent="0.35">
      <c r="A4">
        <v>2.5</v>
      </c>
      <c r="B4">
        <v>0</v>
      </c>
      <c r="E4">
        <v>0.01</v>
      </c>
    </row>
    <row r="5" spans="1:8" x14ac:dyDescent="0.35">
      <c r="A5">
        <v>3</v>
      </c>
      <c r="B5">
        <v>0</v>
      </c>
      <c r="C5" cm="1">
        <f t="array" ref="C5:C33">SQRT((A5:A33)^2 +(B5:B33)^2)</f>
        <v>3</v>
      </c>
      <c r="E5">
        <v>1.9E-2</v>
      </c>
    </row>
    <row r="6" spans="1:8" x14ac:dyDescent="0.35">
      <c r="A6">
        <v>3.5</v>
      </c>
      <c r="B6">
        <v>0</v>
      </c>
      <c r="C6">
        <v>3.5</v>
      </c>
      <c r="E6">
        <v>3.1E-2</v>
      </c>
    </row>
    <row r="7" spans="1:8" x14ac:dyDescent="0.35">
      <c r="A7">
        <v>4</v>
      </c>
      <c r="B7">
        <v>0</v>
      </c>
      <c r="C7">
        <v>4</v>
      </c>
      <c r="E7">
        <v>5.3999999999999999E-2</v>
      </c>
    </row>
    <row r="8" spans="1:8" x14ac:dyDescent="0.35">
      <c r="A8">
        <v>4.5</v>
      </c>
      <c r="B8">
        <v>0</v>
      </c>
      <c r="C8">
        <v>4.5</v>
      </c>
      <c r="E8">
        <v>0.09</v>
      </c>
      <c r="F8">
        <v>8.7999999999999995E-2</v>
      </c>
      <c r="G8">
        <v>9.0999999999999998E-2</v>
      </c>
    </row>
    <row r="9" spans="1:8" x14ac:dyDescent="0.35">
      <c r="A9">
        <v>5</v>
      </c>
      <c r="B9">
        <v>0</v>
      </c>
      <c r="C9">
        <v>5</v>
      </c>
      <c r="E9">
        <v>0.13500000000000001</v>
      </c>
      <c r="F9">
        <v>0.13100000000000001</v>
      </c>
      <c r="G9">
        <v>0.13700000000000001</v>
      </c>
    </row>
    <row r="10" spans="1:8" x14ac:dyDescent="0.35">
      <c r="A10">
        <v>5.5</v>
      </c>
      <c r="B10">
        <v>0</v>
      </c>
      <c r="C10">
        <v>5.5</v>
      </c>
      <c r="E10">
        <v>0.19</v>
      </c>
      <c r="F10">
        <v>0.189</v>
      </c>
      <c r="G10">
        <v>0.193</v>
      </c>
    </row>
    <row r="11" spans="1:8" x14ac:dyDescent="0.35">
      <c r="A11">
        <v>6</v>
      </c>
      <c r="B11">
        <v>0</v>
      </c>
      <c r="C11">
        <v>6</v>
      </c>
      <c r="E11">
        <v>0.24399999999999999</v>
      </c>
      <c r="F11">
        <v>0.24199999999999999</v>
      </c>
      <c r="G11">
        <v>0.248</v>
      </c>
    </row>
    <row r="12" spans="1:8" x14ac:dyDescent="0.35">
      <c r="A12">
        <v>6.5</v>
      </c>
      <c r="B12">
        <v>0</v>
      </c>
      <c r="C12">
        <v>6.5</v>
      </c>
      <c r="E12">
        <v>0.29499999999999998</v>
      </c>
      <c r="F12">
        <v>0.29199999999999998</v>
      </c>
      <c r="G12">
        <v>0.29799999999999999</v>
      </c>
    </row>
    <row r="13" spans="1:8" x14ac:dyDescent="0.35">
      <c r="A13">
        <v>7</v>
      </c>
      <c r="B13">
        <v>0</v>
      </c>
      <c r="C13">
        <v>7</v>
      </c>
      <c r="E13">
        <v>0.34100000000000003</v>
      </c>
      <c r="F13">
        <v>0.34</v>
      </c>
      <c r="G13">
        <v>0.34399999999999997</v>
      </c>
    </row>
    <row r="14" spans="1:8" x14ac:dyDescent="0.35">
      <c r="A14">
        <v>7.5</v>
      </c>
      <c r="B14">
        <v>0</v>
      </c>
      <c r="C14">
        <v>7.5</v>
      </c>
      <c r="E14">
        <v>0.38300000000000001</v>
      </c>
      <c r="F14">
        <v>0.38200000000000001</v>
      </c>
      <c r="G14">
        <v>0.38700000000000001</v>
      </c>
    </row>
    <row r="15" spans="1:8" x14ac:dyDescent="0.35">
      <c r="A15">
        <v>8</v>
      </c>
      <c r="B15">
        <v>0</v>
      </c>
      <c r="C15">
        <v>8</v>
      </c>
      <c r="E15">
        <v>0.39100000000000001</v>
      </c>
      <c r="F15">
        <v>0.38900000000000001</v>
      </c>
      <c r="G15">
        <v>0.39300000000000002</v>
      </c>
    </row>
    <row r="16" spans="1:8" x14ac:dyDescent="0.35">
      <c r="A16">
        <v>8.5</v>
      </c>
      <c r="B16">
        <v>0</v>
      </c>
      <c r="C16">
        <v>8.5</v>
      </c>
      <c r="E16">
        <v>0.36799999999999999</v>
      </c>
      <c r="F16">
        <v>0.36699999999999999</v>
      </c>
      <c r="G16">
        <v>0.375</v>
      </c>
    </row>
    <row r="17" spans="1:7" x14ac:dyDescent="0.35">
      <c r="A17">
        <v>9</v>
      </c>
      <c r="B17">
        <v>0</v>
      </c>
      <c r="C17">
        <v>9</v>
      </c>
      <c r="E17">
        <v>0.32600000000000001</v>
      </c>
      <c r="F17">
        <v>0.32200000000000001</v>
      </c>
      <c r="G17">
        <v>0.32900000000000001</v>
      </c>
    </row>
    <row r="18" spans="1:7" x14ac:dyDescent="0.35">
      <c r="A18">
        <v>9.5</v>
      </c>
      <c r="B18">
        <v>0</v>
      </c>
      <c r="C18">
        <v>9.5</v>
      </c>
      <c r="E18">
        <v>0.24</v>
      </c>
      <c r="F18">
        <v>0.23699999999999999</v>
      </c>
      <c r="G18">
        <v>0.24199999999999999</v>
      </c>
    </row>
    <row r="19" spans="1:7" x14ac:dyDescent="0.35">
      <c r="A19">
        <v>10</v>
      </c>
      <c r="B19">
        <v>0</v>
      </c>
      <c r="C19">
        <v>10</v>
      </c>
      <c r="E19">
        <v>0.16</v>
      </c>
      <c r="F19">
        <v>0.155</v>
      </c>
      <c r="G19">
        <v>0.16300000000000001</v>
      </c>
    </row>
    <row r="20" spans="1:7" x14ac:dyDescent="0.35">
      <c r="A20">
        <v>10.5</v>
      </c>
      <c r="B20">
        <v>0</v>
      </c>
      <c r="C20">
        <v>10.5</v>
      </c>
      <c r="E20">
        <v>8.7999999999999995E-2</v>
      </c>
      <c r="F20">
        <v>8.3000000000000004E-2</v>
      </c>
      <c r="G20">
        <v>9.0999999999999998E-2</v>
      </c>
    </row>
    <row r="21" spans="1:7" x14ac:dyDescent="0.35">
      <c r="A21">
        <v>11</v>
      </c>
      <c r="B21">
        <v>0</v>
      </c>
      <c r="C21">
        <v>11</v>
      </c>
      <c r="E21">
        <v>6.9000000000000006E-2</v>
      </c>
      <c r="F21">
        <v>6.0999999999999999E-2</v>
      </c>
      <c r="G21">
        <v>7.2999999999999995E-2</v>
      </c>
    </row>
    <row r="22" spans="1:7" x14ac:dyDescent="0.35">
      <c r="A22">
        <v>11.5</v>
      </c>
      <c r="B22">
        <v>0</v>
      </c>
      <c r="C22">
        <v>11.5</v>
      </c>
      <c r="E22">
        <v>0.14699999999999999</v>
      </c>
      <c r="F22">
        <v>0.14299999999999999</v>
      </c>
      <c r="G22">
        <v>0.151</v>
      </c>
    </row>
    <row r="23" spans="1:7" x14ac:dyDescent="0.35">
      <c r="A23">
        <v>12</v>
      </c>
      <c r="B23">
        <v>0</v>
      </c>
      <c r="C23">
        <v>12</v>
      </c>
      <c r="E23">
        <v>0.38400000000000001</v>
      </c>
      <c r="F23">
        <v>0.38100000000000001</v>
      </c>
      <c r="G23">
        <v>0.39200000000000002</v>
      </c>
    </row>
    <row r="24" spans="1:7" x14ac:dyDescent="0.35">
      <c r="A24">
        <v>12.5</v>
      </c>
      <c r="B24">
        <v>0</v>
      </c>
      <c r="C24">
        <v>12.5</v>
      </c>
      <c r="E24">
        <v>0.58399999999999996</v>
      </c>
      <c r="F24">
        <v>0.57899999999999996</v>
      </c>
      <c r="G24">
        <v>0.58899999999999997</v>
      </c>
    </row>
    <row r="25" spans="1:7" x14ac:dyDescent="0.35">
      <c r="A25">
        <v>13</v>
      </c>
      <c r="B25">
        <v>0</v>
      </c>
      <c r="C25">
        <v>13</v>
      </c>
      <c r="E25">
        <v>0.73299999999999998</v>
      </c>
      <c r="F25">
        <v>0.72599999999999998</v>
      </c>
      <c r="G25">
        <v>0.73899999999999999</v>
      </c>
    </row>
    <row r="26" spans="1:7" x14ac:dyDescent="0.35">
      <c r="A26">
        <v>13.5</v>
      </c>
      <c r="B26">
        <v>0</v>
      </c>
      <c r="C26">
        <v>13.5</v>
      </c>
      <c r="E26">
        <v>0.80100000000000005</v>
      </c>
      <c r="F26">
        <v>0.79800000000000004</v>
      </c>
      <c r="G26">
        <v>0.80500000000000005</v>
      </c>
    </row>
    <row r="27" spans="1:7" x14ac:dyDescent="0.35">
      <c r="A27">
        <v>14</v>
      </c>
      <c r="C27">
        <v>14</v>
      </c>
      <c r="E27">
        <v>0.73199999999999998</v>
      </c>
      <c r="F27">
        <v>0.72399999999999998</v>
      </c>
      <c r="G27">
        <v>0.73699999999999999</v>
      </c>
    </row>
    <row r="28" spans="1:7" x14ac:dyDescent="0.35">
      <c r="A28">
        <v>14.5</v>
      </c>
      <c r="B28">
        <v>0</v>
      </c>
      <c r="C28">
        <v>14.5</v>
      </c>
      <c r="E28">
        <v>0.623</v>
      </c>
      <c r="F28">
        <v>0.61599999999999999</v>
      </c>
      <c r="G28">
        <v>0.63500000000000001</v>
      </c>
    </row>
    <row r="29" spans="1:7" x14ac:dyDescent="0.35">
      <c r="A29">
        <v>15</v>
      </c>
      <c r="C29">
        <v>15</v>
      </c>
      <c r="E29">
        <v>0.45400000000000001</v>
      </c>
      <c r="F29">
        <v>0.44700000000000001</v>
      </c>
      <c r="G29">
        <v>0.45800000000000002</v>
      </c>
    </row>
    <row r="30" spans="1:7" x14ac:dyDescent="0.35">
      <c r="A30">
        <v>15.5</v>
      </c>
      <c r="C30">
        <v>15.5</v>
      </c>
      <c r="E30">
        <v>0.28399999999999997</v>
      </c>
      <c r="F30">
        <v>0.27700000000000002</v>
      </c>
      <c r="G30">
        <v>0.28899999999999998</v>
      </c>
    </row>
    <row r="31" spans="1:7" x14ac:dyDescent="0.35">
      <c r="A31">
        <v>16</v>
      </c>
      <c r="C31">
        <v>16</v>
      </c>
      <c r="E31">
        <v>0.14299999999999999</v>
      </c>
      <c r="F31">
        <v>0.14099999999999999</v>
      </c>
      <c r="G31">
        <v>0.155</v>
      </c>
    </row>
    <row r="32" spans="1:7" x14ac:dyDescent="0.35">
      <c r="A32">
        <v>16.5</v>
      </c>
      <c r="C32">
        <v>16.5</v>
      </c>
      <c r="E32">
        <v>7.1999999999999995E-2</v>
      </c>
      <c r="F32">
        <v>7.0000000000000007E-2</v>
      </c>
      <c r="G32">
        <v>7.2999999999999995E-2</v>
      </c>
    </row>
    <row r="33" spans="1:8" x14ac:dyDescent="0.35">
      <c r="A33">
        <v>17</v>
      </c>
      <c r="B33">
        <v>0</v>
      </c>
      <c r="C33">
        <v>17</v>
      </c>
      <c r="E33">
        <v>4.1000000000000002E-2</v>
      </c>
      <c r="F33">
        <v>4.1000000000000002E-2</v>
      </c>
      <c r="G33">
        <v>4.2999999999999997E-2</v>
      </c>
    </row>
    <row r="34" spans="1:8" x14ac:dyDescent="0.35">
      <c r="A34" s="5">
        <v>17.5</v>
      </c>
      <c r="B34" s="4"/>
      <c r="C34" s="4"/>
      <c r="D34" s="4"/>
      <c r="E34" s="4">
        <v>1.6E-2</v>
      </c>
      <c r="F34" s="4"/>
      <c r="G34" s="4"/>
      <c r="H34" s="4"/>
    </row>
    <row r="35" spans="1:8" x14ac:dyDescent="0.35">
      <c r="A35" s="5">
        <v>18</v>
      </c>
      <c r="E35" s="4">
        <v>8.0000000000000002E-3</v>
      </c>
    </row>
    <row r="36" spans="1:8" x14ac:dyDescent="0.35">
      <c r="A36" s="5">
        <v>18.5</v>
      </c>
      <c r="E36" s="4">
        <v>5.0000000000000001E-3</v>
      </c>
    </row>
    <row r="37" spans="1:8" x14ac:dyDescent="0.35">
      <c r="A37" s="5">
        <v>19</v>
      </c>
      <c r="E37" s="4">
        <v>3.0000000000000001E-3</v>
      </c>
    </row>
    <row r="38" spans="1:8" x14ac:dyDescent="0.35">
      <c r="A38" s="5">
        <v>19.5</v>
      </c>
      <c r="E38" s="4">
        <v>3.0000000000000001E-3</v>
      </c>
    </row>
    <row r="39" spans="1:8" x14ac:dyDescent="0.35">
      <c r="A39" s="5">
        <v>20</v>
      </c>
      <c r="E39" s="4">
        <v>3.0000000000000001E-3</v>
      </c>
    </row>
    <row r="40" spans="1:8" x14ac:dyDescent="0.35">
      <c r="A40" s="3" t="s">
        <v>34</v>
      </c>
      <c r="B40" s="2"/>
      <c r="C40" s="2"/>
      <c r="D40" s="2"/>
      <c r="E40" s="2"/>
      <c r="F40" s="2"/>
      <c r="G40" s="2"/>
      <c r="H40" s="2"/>
    </row>
    <row r="41" spans="1:8" x14ac:dyDescent="0.35">
      <c r="A41" s="5">
        <v>20</v>
      </c>
      <c r="B41">
        <v>0</v>
      </c>
      <c r="C41" cm="1">
        <f t="array" ref="C41:C64">SQRT((A41:A64)^2 +(B41:B64)^2)</f>
        <v>20</v>
      </c>
      <c r="E41" s="4">
        <v>4.0000000000000001E-3</v>
      </c>
    </row>
    <row r="42" spans="1:8" x14ac:dyDescent="0.35">
      <c r="A42" s="5">
        <v>19.5</v>
      </c>
      <c r="B42">
        <v>0</v>
      </c>
      <c r="C42">
        <v>19.5</v>
      </c>
      <c r="E42" s="4">
        <v>5.0000000000000001E-3</v>
      </c>
    </row>
    <row r="43" spans="1:8" x14ac:dyDescent="0.35">
      <c r="A43" s="5">
        <v>19</v>
      </c>
      <c r="B43">
        <v>0</v>
      </c>
      <c r="C43">
        <v>19</v>
      </c>
      <c r="E43" s="4">
        <v>6.0000000000000001E-3</v>
      </c>
    </row>
    <row r="44" spans="1:8" x14ac:dyDescent="0.35">
      <c r="A44" s="5">
        <v>18.5</v>
      </c>
      <c r="B44">
        <v>0</v>
      </c>
      <c r="C44">
        <v>18.5</v>
      </c>
      <c r="E44" s="4">
        <v>1.4999999999999999E-2</v>
      </c>
    </row>
    <row r="45" spans="1:8" x14ac:dyDescent="0.35">
      <c r="A45" s="5">
        <v>18</v>
      </c>
      <c r="B45">
        <v>0</v>
      </c>
      <c r="C45">
        <v>18</v>
      </c>
      <c r="E45" s="4">
        <v>2.9000000000000001E-2</v>
      </c>
      <c r="F45" s="4">
        <v>2.9000000000000001E-2</v>
      </c>
      <c r="G45" s="4">
        <v>0.03</v>
      </c>
    </row>
    <row r="46" spans="1:8" x14ac:dyDescent="0.35">
      <c r="A46">
        <v>17.5</v>
      </c>
      <c r="B46">
        <v>0</v>
      </c>
      <c r="C46">
        <v>17.5</v>
      </c>
      <c r="E46" s="4">
        <v>5.1999999999999998E-2</v>
      </c>
      <c r="F46" s="4">
        <v>5.0999999999999997E-2</v>
      </c>
      <c r="G46" s="4">
        <v>5.2999999999999999E-2</v>
      </c>
    </row>
    <row r="47" spans="1:8" x14ac:dyDescent="0.35">
      <c r="A47">
        <v>17</v>
      </c>
      <c r="B47">
        <v>0</v>
      </c>
      <c r="C47">
        <v>17</v>
      </c>
      <c r="E47" s="4">
        <v>0.105</v>
      </c>
      <c r="F47" s="4">
        <v>0.10100000000000001</v>
      </c>
      <c r="G47" s="4">
        <v>0.107</v>
      </c>
    </row>
    <row r="48" spans="1:8" x14ac:dyDescent="0.35">
      <c r="A48">
        <v>16.5</v>
      </c>
      <c r="B48">
        <v>0</v>
      </c>
      <c r="C48">
        <v>16.5</v>
      </c>
      <c r="E48" s="4">
        <v>0.19600000000000001</v>
      </c>
      <c r="F48" s="4">
        <v>0.193</v>
      </c>
      <c r="G48" s="4">
        <v>0.19900000000000001</v>
      </c>
    </row>
    <row r="49" spans="1:7" x14ac:dyDescent="0.35">
      <c r="A49">
        <v>16</v>
      </c>
      <c r="B49">
        <v>0</v>
      </c>
      <c r="C49">
        <v>16</v>
      </c>
      <c r="E49" s="4">
        <v>0.35299999999999998</v>
      </c>
      <c r="F49" s="4">
        <v>0.34499999999999997</v>
      </c>
      <c r="G49" s="4">
        <v>0.35799999999999998</v>
      </c>
    </row>
    <row r="50" spans="1:7" x14ac:dyDescent="0.35">
      <c r="A50">
        <v>15.5</v>
      </c>
      <c r="B50">
        <v>0</v>
      </c>
      <c r="C50">
        <v>15.5</v>
      </c>
      <c r="E50" s="4">
        <v>0.51800000000000002</v>
      </c>
      <c r="F50" s="4">
        <v>0.50600000000000001</v>
      </c>
      <c r="G50" s="4">
        <v>0.52200000000000002</v>
      </c>
    </row>
    <row r="51" spans="1:7" x14ac:dyDescent="0.35">
      <c r="A51">
        <v>15</v>
      </c>
      <c r="B51">
        <v>0</v>
      </c>
      <c r="C51">
        <v>15</v>
      </c>
      <c r="E51" s="4">
        <v>0.67700000000000005</v>
      </c>
      <c r="F51" s="4">
        <v>0.67200000000000004</v>
      </c>
      <c r="G51" s="4">
        <v>0.68300000000000005</v>
      </c>
    </row>
    <row r="52" spans="1:7" x14ac:dyDescent="0.35">
      <c r="A52">
        <v>14.5</v>
      </c>
      <c r="B52">
        <v>0</v>
      </c>
      <c r="C52">
        <v>14.5</v>
      </c>
      <c r="E52" s="4">
        <v>0.73399999999999999</v>
      </c>
      <c r="F52" s="4">
        <v>0.73099999999999998</v>
      </c>
      <c r="G52" s="4">
        <v>0.73599999999999999</v>
      </c>
    </row>
    <row r="53" spans="1:7" x14ac:dyDescent="0.35">
      <c r="A53">
        <v>14</v>
      </c>
      <c r="B53">
        <v>0</v>
      </c>
      <c r="C53">
        <v>14</v>
      </c>
      <c r="E53" s="4">
        <v>0.749</v>
      </c>
      <c r="F53" s="4">
        <v>0.745</v>
      </c>
      <c r="G53" s="4">
        <v>0.755</v>
      </c>
    </row>
    <row r="54" spans="1:7" x14ac:dyDescent="0.35">
      <c r="A54">
        <v>13.5</v>
      </c>
      <c r="B54">
        <v>0</v>
      </c>
      <c r="C54">
        <v>13.5</v>
      </c>
      <c r="E54" s="4">
        <v>0.65800000000000003</v>
      </c>
      <c r="F54" s="4">
        <v>0.65500000000000003</v>
      </c>
      <c r="G54" s="4">
        <v>0.66100000000000003</v>
      </c>
    </row>
    <row r="55" spans="1:7" x14ac:dyDescent="0.35">
      <c r="A55">
        <v>13</v>
      </c>
      <c r="B55">
        <v>0</v>
      </c>
      <c r="C55">
        <v>13</v>
      </c>
      <c r="E55" s="4">
        <v>0.499</v>
      </c>
      <c r="F55" s="4">
        <v>0.48899999999999999</v>
      </c>
      <c r="G55" s="4">
        <v>0.50800000000000001</v>
      </c>
    </row>
    <row r="56" spans="1:7" x14ac:dyDescent="0.35">
      <c r="A56">
        <v>12.5</v>
      </c>
      <c r="B56">
        <v>0</v>
      </c>
      <c r="C56">
        <v>12.5</v>
      </c>
      <c r="E56" s="4">
        <v>0.29499999999999998</v>
      </c>
      <c r="F56" s="4">
        <v>0.38600000000000001</v>
      </c>
      <c r="G56" s="4">
        <v>0.30499999999999999</v>
      </c>
    </row>
    <row r="57" spans="1:7" x14ac:dyDescent="0.35">
      <c r="A57">
        <v>12</v>
      </c>
      <c r="B57">
        <v>0</v>
      </c>
      <c r="C57">
        <v>12</v>
      </c>
      <c r="E57" s="4">
        <v>0.193</v>
      </c>
      <c r="F57" s="4">
        <v>0.184</v>
      </c>
      <c r="G57" s="4">
        <v>0.19700000000000001</v>
      </c>
    </row>
    <row r="58" spans="1:7" x14ac:dyDescent="0.35">
      <c r="A58">
        <v>11.5</v>
      </c>
      <c r="B58">
        <v>0</v>
      </c>
      <c r="C58">
        <v>11.5</v>
      </c>
      <c r="E58" s="4">
        <v>0.13400000000000001</v>
      </c>
      <c r="F58" s="4">
        <v>0.129</v>
      </c>
      <c r="G58" s="4">
        <v>0.13600000000000001</v>
      </c>
    </row>
    <row r="59" spans="1:7" x14ac:dyDescent="0.35">
      <c r="A59">
        <v>11</v>
      </c>
      <c r="B59">
        <v>0</v>
      </c>
      <c r="C59">
        <v>11</v>
      </c>
      <c r="E59" s="4">
        <v>0.13300000000000001</v>
      </c>
      <c r="F59" s="4">
        <v>0.128</v>
      </c>
      <c r="G59" s="4">
        <v>0.14000000000000001</v>
      </c>
    </row>
    <row r="60" spans="1:7" x14ac:dyDescent="0.35">
      <c r="A60">
        <v>10.5</v>
      </c>
      <c r="B60">
        <v>0</v>
      </c>
      <c r="C60">
        <v>10.5</v>
      </c>
      <c r="E60" s="4">
        <v>0.192</v>
      </c>
      <c r="F60" s="4">
        <v>0.189</v>
      </c>
      <c r="G60" s="4">
        <v>0.19500000000000001</v>
      </c>
    </row>
    <row r="61" spans="1:7" x14ac:dyDescent="0.35">
      <c r="A61">
        <v>10</v>
      </c>
      <c r="B61">
        <v>0</v>
      </c>
      <c r="C61">
        <v>10</v>
      </c>
      <c r="E61" s="4">
        <v>0.26100000000000001</v>
      </c>
      <c r="F61" s="4">
        <v>0.25800000000000001</v>
      </c>
      <c r="G61" s="4">
        <v>0.26300000000000001</v>
      </c>
    </row>
    <row r="62" spans="1:7" x14ac:dyDescent="0.35">
      <c r="A62">
        <v>9.5</v>
      </c>
      <c r="B62">
        <v>0</v>
      </c>
      <c r="C62">
        <v>9.5</v>
      </c>
      <c r="E62" s="4">
        <v>0.312</v>
      </c>
      <c r="F62" s="4">
        <v>0.311</v>
      </c>
      <c r="G62" s="4">
        <v>0.314</v>
      </c>
    </row>
    <row r="63" spans="1:7" x14ac:dyDescent="0.35">
      <c r="A63">
        <v>9</v>
      </c>
      <c r="B63">
        <v>0</v>
      </c>
      <c r="C63">
        <v>9</v>
      </c>
      <c r="E63" s="4">
        <v>0.36</v>
      </c>
      <c r="F63" s="4">
        <v>0.35899999999999999</v>
      </c>
      <c r="G63" s="4">
        <v>0.36099999999999999</v>
      </c>
    </row>
    <row r="64" spans="1:7" x14ac:dyDescent="0.35">
      <c r="A64">
        <v>8.5</v>
      </c>
      <c r="B64">
        <v>0</v>
      </c>
      <c r="C64">
        <v>8.5</v>
      </c>
      <c r="E64" s="4">
        <v>0.376</v>
      </c>
      <c r="F64" s="4">
        <v>0.372</v>
      </c>
      <c r="G64" s="4">
        <v>0.378</v>
      </c>
    </row>
    <row r="65" spans="1:8" x14ac:dyDescent="0.35">
      <c r="A65">
        <v>8</v>
      </c>
      <c r="E65" s="4">
        <v>0.36399999999999999</v>
      </c>
      <c r="F65" s="4">
        <v>0.36099999999999999</v>
      </c>
      <c r="G65" s="4">
        <v>0.36499999999999999</v>
      </c>
      <c r="H65" s="4"/>
    </row>
    <row r="66" spans="1:8" x14ac:dyDescent="0.35">
      <c r="A66">
        <v>7.5</v>
      </c>
      <c r="E66" s="4">
        <v>0.32400000000000001</v>
      </c>
      <c r="F66" s="4">
        <v>0.32200000000000001</v>
      </c>
      <c r="G66" s="4">
        <v>0.32600000000000001</v>
      </c>
    </row>
    <row r="67" spans="1:8" x14ac:dyDescent="0.35">
      <c r="A67">
        <v>7</v>
      </c>
      <c r="E67" s="4">
        <v>0.28299999999999997</v>
      </c>
      <c r="F67" s="4">
        <v>0.28199999999999997</v>
      </c>
      <c r="G67" s="4">
        <v>0.28499999999999998</v>
      </c>
    </row>
    <row r="68" spans="1:8" x14ac:dyDescent="0.35">
      <c r="A68">
        <v>6.5</v>
      </c>
      <c r="E68" s="4">
        <v>0.23</v>
      </c>
      <c r="F68" s="4">
        <v>0.22700000000000001</v>
      </c>
      <c r="G68" s="4">
        <v>0.23300000000000001</v>
      </c>
    </row>
    <row r="69" spans="1:8" x14ac:dyDescent="0.35">
      <c r="A69">
        <v>6</v>
      </c>
      <c r="E69" s="4">
        <v>0.16300000000000001</v>
      </c>
      <c r="F69" s="4">
        <v>0.16200000000000001</v>
      </c>
      <c r="G69" s="4">
        <v>0.16500000000000001</v>
      </c>
    </row>
    <row r="70" spans="1:8" x14ac:dyDescent="0.35">
      <c r="A70">
        <v>5.5</v>
      </c>
      <c r="E70" s="4">
        <v>0.12</v>
      </c>
      <c r="F70" s="4">
        <v>0.11600000000000001</v>
      </c>
      <c r="G70" s="4">
        <v>0.121</v>
      </c>
    </row>
    <row r="71" spans="1:8" x14ac:dyDescent="0.35">
      <c r="A71">
        <v>5</v>
      </c>
      <c r="E71" s="4">
        <v>7.0000000000000007E-2</v>
      </c>
      <c r="F71" s="4">
        <v>7.0000000000000007E-2</v>
      </c>
      <c r="G71" s="4">
        <v>7.1999999999999995E-2</v>
      </c>
    </row>
    <row r="72" spans="1:8" x14ac:dyDescent="0.35">
      <c r="A72">
        <v>4.5</v>
      </c>
      <c r="E72" s="4">
        <v>4.3999999999999997E-2</v>
      </c>
      <c r="F72" s="4">
        <v>4.3999999999999997E-2</v>
      </c>
      <c r="G72" s="4">
        <v>4.4999999999999998E-2</v>
      </c>
    </row>
    <row r="73" spans="1:8" x14ac:dyDescent="0.35">
      <c r="A73">
        <v>4</v>
      </c>
      <c r="E73" s="4">
        <v>2.5999999999999999E-2</v>
      </c>
    </row>
    <row r="74" spans="1:8" x14ac:dyDescent="0.35">
      <c r="A74">
        <v>3.5</v>
      </c>
      <c r="E74" s="4">
        <v>1.6E-2</v>
      </c>
    </row>
    <row r="75" spans="1:8" x14ac:dyDescent="0.35">
      <c r="A75">
        <v>3</v>
      </c>
      <c r="E75" s="4">
        <v>8.0000000000000002E-3</v>
      </c>
    </row>
    <row r="76" spans="1:8" x14ac:dyDescent="0.35">
      <c r="A76">
        <v>2.5</v>
      </c>
      <c r="E76" s="4">
        <v>5.0000000000000001E-3</v>
      </c>
    </row>
    <row r="77" spans="1:8" x14ac:dyDescent="0.35">
      <c r="A77">
        <v>2</v>
      </c>
      <c r="E77" s="4">
        <v>4.0000000000000001E-3</v>
      </c>
    </row>
    <row r="78" spans="1:8" x14ac:dyDescent="0.35">
      <c r="A78" s="3" t="s">
        <v>46</v>
      </c>
      <c r="B78" s="2"/>
      <c r="C78" s="2"/>
      <c r="D78" s="2"/>
      <c r="E78" s="2"/>
      <c r="F78" s="2"/>
      <c r="G78" s="2"/>
    </row>
    <row r="79" spans="1:8" x14ac:dyDescent="0.35">
      <c r="A79">
        <v>2.5</v>
      </c>
      <c r="B79">
        <v>5</v>
      </c>
      <c r="E79" s="4">
        <v>1.9E-2</v>
      </c>
      <c r="F79" s="4">
        <v>1.7000000000000001E-2</v>
      </c>
      <c r="G79" s="4">
        <v>2.1999999999999999E-2</v>
      </c>
    </row>
    <row r="80" spans="1:8" x14ac:dyDescent="0.35">
      <c r="A80">
        <v>3</v>
      </c>
      <c r="B80">
        <v>5</v>
      </c>
      <c r="E80" s="4">
        <v>0.14399999999999999</v>
      </c>
      <c r="F80" s="4">
        <v>0.13600000000000001</v>
      </c>
      <c r="G80" s="4">
        <v>0.14799999999999999</v>
      </c>
    </row>
    <row r="81" spans="1:7" x14ac:dyDescent="0.35">
      <c r="A81">
        <v>3.5</v>
      </c>
      <c r="B81">
        <v>5</v>
      </c>
      <c r="E81" s="4">
        <v>0.316</v>
      </c>
      <c r="F81">
        <v>0.31</v>
      </c>
      <c r="G81">
        <v>0.32</v>
      </c>
    </row>
    <row r="82" spans="1:7" x14ac:dyDescent="0.35">
      <c r="A82">
        <v>4</v>
      </c>
      <c r="B82">
        <v>5</v>
      </c>
      <c r="E82" s="4">
        <v>0.433</v>
      </c>
      <c r="F82">
        <v>0.42499999999999999</v>
      </c>
      <c r="G82">
        <v>0.442</v>
      </c>
    </row>
    <row r="83" spans="1:7" x14ac:dyDescent="0.35">
      <c r="A83">
        <v>4.5</v>
      </c>
      <c r="B83">
        <v>5</v>
      </c>
      <c r="E83" s="4">
        <v>0.58899999999999997</v>
      </c>
      <c r="F83">
        <v>0.58699999999999997</v>
      </c>
      <c r="G83">
        <v>0.59199999999999997</v>
      </c>
    </row>
    <row r="84" spans="1:7" x14ac:dyDescent="0.35">
      <c r="A84">
        <v>5</v>
      </c>
      <c r="B84">
        <v>5</v>
      </c>
      <c r="E84" s="4">
        <v>0.68500000000000005</v>
      </c>
      <c r="F84" s="4">
        <v>0.67800000000000005</v>
      </c>
      <c r="G84" s="4">
        <v>0.68700000000000006</v>
      </c>
    </row>
    <row r="85" spans="1:7" x14ac:dyDescent="0.35">
      <c r="A85">
        <v>5.5</v>
      </c>
      <c r="B85">
        <v>5</v>
      </c>
      <c r="E85" s="4">
        <v>0.56699999999999995</v>
      </c>
      <c r="F85" s="4">
        <v>0.55600000000000005</v>
      </c>
      <c r="G85" s="4">
        <v>0.57099999999999995</v>
      </c>
    </row>
    <row r="86" spans="1:7" x14ac:dyDescent="0.35">
      <c r="A86">
        <v>6</v>
      </c>
      <c r="B86">
        <v>5</v>
      </c>
      <c r="E86" s="4">
        <v>0.34</v>
      </c>
      <c r="F86" s="4">
        <v>0.33700000000000002</v>
      </c>
      <c r="G86" s="4">
        <v>0.34799999999999998</v>
      </c>
    </row>
    <row r="87" spans="1:7" x14ac:dyDescent="0.35">
      <c r="A87">
        <v>6.5</v>
      </c>
      <c r="B87">
        <v>5</v>
      </c>
      <c r="E87" s="4">
        <v>0.21299999999999999</v>
      </c>
      <c r="F87" s="4">
        <v>0.20200000000000001</v>
      </c>
      <c r="G87" s="4">
        <v>0.22</v>
      </c>
    </row>
    <row r="88" spans="1:7" x14ac:dyDescent="0.35">
      <c r="A88">
        <v>7</v>
      </c>
      <c r="B88">
        <v>5</v>
      </c>
      <c r="E88" s="4">
        <v>0.11799999999999999</v>
      </c>
      <c r="F88" s="4">
        <v>0.114</v>
      </c>
      <c r="G88" s="4">
        <v>0.122</v>
      </c>
    </row>
    <row r="89" spans="1:7" x14ac:dyDescent="0.35">
      <c r="A89">
        <v>7.5</v>
      </c>
      <c r="B89">
        <v>5</v>
      </c>
      <c r="E89" s="4">
        <v>0.06</v>
      </c>
      <c r="F89" s="4">
        <v>5.8999999999999997E-2</v>
      </c>
      <c r="G89" s="4">
        <v>6.0999999999999999E-2</v>
      </c>
    </row>
    <row r="90" spans="1:7" x14ac:dyDescent="0.35">
      <c r="A90">
        <v>8</v>
      </c>
      <c r="B90">
        <v>5</v>
      </c>
      <c r="E90" s="4">
        <v>3.4000000000000002E-2</v>
      </c>
      <c r="F90" s="4">
        <v>3.2000000000000001E-2</v>
      </c>
      <c r="G90" s="4">
        <v>3.5999999999999997E-2</v>
      </c>
    </row>
    <row r="91" spans="1:7" x14ac:dyDescent="0.35">
      <c r="A91">
        <v>8.5</v>
      </c>
      <c r="B91">
        <v>5</v>
      </c>
      <c r="E91" s="4">
        <v>2.1000000000000001E-2</v>
      </c>
      <c r="F91" s="4">
        <v>0.02</v>
      </c>
      <c r="G91" s="4">
        <v>2.1000000000000001E-2</v>
      </c>
    </row>
    <row r="92" spans="1:7" x14ac:dyDescent="0.35">
      <c r="A92">
        <v>9</v>
      </c>
      <c r="B92">
        <v>5</v>
      </c>
      <c r="E92" s="4">
        <v>1.6E-2</v>
      </c>
    </row>
    <row r="93" spans="1:7" x14ac:dyDescent="0.35">
      <c r="A93">
        <v>9.5</v>
      </c>
      <c r="B93">
        <v>5</v>
      </c>
      <c r="E93" s="4">
        <v>1.4E-2</v>
      </c>
    </row>
    <row r="94" spans="1:7" x14ac:dyDescent="0.35">
      <c r="A94">
        <v>10</v>
      </c>
      <c r="B94">
        <v>5</v>
      </c>
      <c r="E94" s="4">
        <v>1.2E-2</v>
      </c>
    </row>
    <row r="95" spans="1:7" x14ac:dyDescent="0.35">
      <c r="A95">
        <v>10.5</v>
      </c>
      <c r="B95">
        <v>5</v>
      </c>
      <c r="E95" s="4">
        <v>8.9999999999999993E-3</v>
      </c>
    </row>
    <row r="96" spans="1:7" x14ac:dyDescent="0.35">
      <c r="A96">
        <v>11</v>
      </c>
      <c r="B96">
        <v>5</v>
      </c>
      <c r="E96" s="4">
        <v>5.0000000000000001E-3</v>
      </c>
    </row>
    <row r="97" spans="1:7" x14ac:dyDescent="0.35">
      <c r="A97">
        <v>11.5</v>
      </c>
      <c r="B97">
        <v>5</v>
      </c>
      <c r="E97" s="4">
        <v>2E-3</v>
      </c>
    </row>
    <row r="98" spans="1:7" x14ac:dyDescent="0.35">
      <c r="A98">
        <v>12</v>
      </c>
      <c r="B98">
        <v>5</v>
      </c>
      <c r="E98" s="4">
        <v>0</v>
      </c>
    </row>
    <row r="99" spans="1:7" x14ac:dyDescent="0.35">
      <c r="A99">
        <v>12.5</v>
      </c>
      <c r="B99">
        <v>5</v>
      </c>
      <c r="E99" s="4">
        <v>1E-3</v>
      </c>
    </row>
    <row r="100" spans="1:7" x14ac:dyDescent="0.35">
      <c r="A100">
        <v>13</v>
      </c>
      <c r="B100">
        <v>5</v>
      </c>
      <c r="E100" s="4">
        <v>1E-3</v>
      </c>
    </row>
    <row r="101" spans="1:7" x14ac:dyDescent="0.35">
      <c r="A101" s="3" t="s">
        <v>34</v>
      </c>
      <c r="B101" s="2"/>
      <c r="C101" s="2"/>
      <c r="D101" s="2"/>
      <c r="E101" s="2"/>
      <c r="F101" s="2"/>
      <c r="G101" s="2"/>
    </row>
    <row r="102" spans="1:7" x14ac:dyDescent="0.35">
      <c r="A102">
        <v>12.5</v>
      </c>
      <c r="B102">
        <v>5</v>
      </c>
      <c r="E102" s="4">
        <v>3.0000000000000001E-3</v>
      </c>
    </row>
    <row r="103" spans="1:7" x14ac:dyDescent="0.35">
      <c r="A103">
        <v>12</v>
      </c>
      <c r="B103">
        <v>5</v>
      </c>
      <c r="E103" s="4">
        <v>6.0000000000000001E-3</v>
      </c>
    </row>
    <row r="104" spans="1:7" x14ac:dyDescent="0.35">
      <c r="A104">
        <v>11.5</v>
      </c>
      <c r="B104">
        <v>5</v>
      </c>
      <c r="E104" s="4">
        <v>8.0000000000000002E-3</v>
      </c>
    </row>
    <row r="105" spans="1:7" x14ac:dyDescent="0.35">
      <c r="A105">
        <v>11</v>
      </c>
      <c r="B105">
        <v>5</v>
      </c>
      <c r="E105" s="4">
        <v>0.01</v>
      </c>
    </row>
    <row r="106" spans="1:7" x14ac:dyDescent="0.35">
      <c r="A106">
        <v>10.5</v>
      </c>
      <c r="B106">
        <v>5</v>
      </c>
      <c r="E106" s="4">
        <v>1.0999999999999999E-2</v>
      </c>
    </row>
    <row r="107" spans="1:7" x14ac:dyDescent="0.35">
      <c r="A107">
        <v>10</v>
      </c>
      <c r="B107">
        <v>5</v>
      </c>
      <c r="E107" s="4">
        <v>1.2E-2</v>
      </c>
    </row>
    <row r="108" spans="1:7" x14ac:dyDescent="0.35">
      <c r="A108">
        <v>9.5</v>
      </c>
      <c r="B108">
        <v>5</v>
      </c>
      <c r="E108" s="4">
        <v>1.6E-2</v>
      </c>
    </row>
    <row r="109" spans="1:7" x14ac:dyDescent="0.35">
      <c r="A109">
        <v>9</v>
      </c>
      <c r="B109">
        <v>5</v>
      </c>
      <c r="E109" s="4">
        <v>2.5999999999999999E-2</v>
      </c>
      <c r="F109" s="4">
        <v>2.5999999999999999E-2</v>
      </c>
      <c r="G109" s="4">
        <v>2.7E-2</v>
      </c>
    </row>
    <row r="110" spans="1:7" x14ac:dyDescent="0.35">
      <c r="A110" s="5">
        <v>8.5</v>
      </c>
      <c r="B110" s="4">
        <v>5</v>
      </c>
      <c r="C110" s="4"/>
      <c r="E110" s="4">
        <v>6.6000000000000003E-2</v>
      </c>
      <c r="F110" s="4">
        <v>6.4000000000000001E-2</v>
      </c>
      <c r="G110" s="4">
        <v>6.6000000000000003E-2</v>
      </c>
    </row>
    <row r="111" spans="1:7" x14ac:dyDescent="0.35">
      <c r="A111" s="5">
        <v>8</v>
      </c>
      <c r="B111" s="4">
        <v>5</v>
      </c>
      <c r="E111" s="4">
        <v>0.13900000000000001</v>
      </c>
      <c r="F111">
        <v>0.13100000000000001</v>
      </c>
      <c r="G111">
        <v>0.14000000000000001</v>
      </c>
    </row>
    <row r="112" spans="1:7" x14ac:dyDescent="0.35">
      <c r="A112" s="5">
        <v>7.5</v>
      </c>
      <c r="B112" s="4">
        <v>5</v>
      </c>
      <c r="E112" s="4">
        <v>0.24199999999999999</v>
      </c>
      <c r="F112">
        <v>0.23799999999999999</v>
      </c>
      <c r="G112">
        <v>0.24399999999999999</v>
      </c>
    </row>
    <row r="113" spans="1:7" x14ac:dyDescent="0.35">
      <c r="A113" s="5">
        <v>7</v>
      </c>
      <c r="B113" s="4">
        <v>5</v>
      </c>
      <c r="E113" s="4">
        <v>0.39700000000000002</v>
      </c>
      <c r="F113">
        <v>0.38400000000000001</v>
      </c>
      <c r="G113">
        <v>0.40200000000000002</v>
      </c>
    </row>
    <row r="114" spans="1:7" x14ac:dyDescent="0.35">
      <c r="A114" s="5">
        <v>6.5</v>
      </c>
      <c r="B114" s="4">
        <v>5</v>
      </c>
      <c r="E114" s="4">
        <v>0.54100000000000004</v>
      </c>
      <c r="F114" s="4">
        <v>0.53600000000000003</v>
      </c>
      <c r="G114" s="4">
        <v>0.54400000000000004</v>
      </c>
    </row>
    <row r="115" spans="1:7" x14ac:dyDescent="0.35">
      <c r="A115" s="5">
        <v>6</v>
      </c>
      <c r="B115" s="4">
        <v>5</v>
      </c>
      <c r="E115" s="4">
        <v>0.67</v>
      </c>
      <c r="F115" s="4">
        <v>0.66800000000000004</v>
      </c>
      <c r="G115" s="4">
        <v>0.67300000000000004</v>
      </c>
    </row>
    <row r="116" spans="1:7" x14ac:dyDescent="0.35">
      <c r="A116" s="5">
        <v>5.5</v>
      </c>
      <c r="B116" s="4">
        <v>5</v>
      </c>
      <c r="E116" s="4">
        <v>0.68700000000000006</v>
      </c>
      <c r="F116" s="4">
        <v>0.68400000000000005</v>
      </c>
      <c r="G116" s="4">
        <v>0.68799999999999994</v>
      </c>
    </row>
    <row r="117" spans="1:7" x14ac:dyDescent="0.35">
      <c r="A117" s="5">
        <v>5</v>
      </c>
      <c r="B117" s="4">
        <v>5</v>
      </c>
      <c r="E117" s="4">
        <v>0.63400000000000001</v>
      </c>
      <c r="F117" s="4">
        <v>0.63100000000000001</v>
      </c>
      <c r="G117" s="4">
        <v>0.63800000000000001</v>
      </c>
    </row>
    <row r="118" spans="1:7" x14ac:dyDescent="0.35">
      <c r="A118" s="5">
        <v>4.5</v>
      </c>
      <c r="B118" s="4">
        <v>5</v>
      </c>
      <c r="E118" s="4">
        <v>0.495</v>
      </c>
      <c r="F118" s="4">
        <v>0.48899999999999999</v>
      </c>
      <c r="G118" s="4">
        <v>0.502</v>
      </c>
    </row>
    <row r="119" spans="1:7" x14ac:dyDescent="0.35">
      <c r="A119" s="5">
        <v>4</v>
      </c>
      <c r="B119" s="4">
        <v>5</v>
      </c>
      <c r="E119" s="4">
        <v>0.29199999999999998</v>
      </c>
      <c r="F119" s="4">
        <v>0.28100000000000003</v>
      </c>
      <c r="G119" s="4">
        <v>0.3</v>
      </c>
    </row>
    <row r="120" spans="1:7" x14ac:dyDescent="0.35">
      <c r="A120" s="5">
        <v>3.5</v>
      </c>
      <c r="B120" s="4">
        <v>5</v>
      </c>
      <c r="E120" s="4">
        <v>0.14299999999999999</v>
      </c>
      <c r="F120" s="4">
        <v>0.13400000000000001</v>
      </c>
      <c r="G120" s="4">
        <v>0.151</v>
      </c>
    </row>
    <row r="121" spans="1:7" x14ac:dyDescent="0.35">
      <c r="A121" s="5">
        <v>3</v>
      </c>
      <c r="B121" s="4">
        <v>5</v>
      </c>
      <c r="E121" s="4">
        <v>2.4E-2</v>
      </c>
      <c r="F121" s="4">
        <v>0.02</v>
      </c>
      <c r="G121" s="4">
        <v>2.5999999999999999E-2</v>
      </c>
    </row>
    <row r="122" spans="1:7" x14ac:dyDescent="0.35">
      <c r="A122" s="5">
        <v>2.5</v>
      </c>
      <c r="B122" s="4">
        <v>5</v>
      </c>
      <c r="E122" s="4">
        <v>0.03</v>
      </c>
      <c r="F122" s="4">
        <v>2.4E-2</v>
      </c>
      <c r="G122" s="4">
        <v>3.5999999999999997E-2</v>
      </c>
    </row>
    <row r="123" spans="1:7" x14ac:dyDescent="0.35">
      <c r="A123" s="5">
        <v>2</v>
      </c>
      <c r="B123" s="4">
        <v>5</v>
      </c>
      <c r="E123" s="4">
        <v>0.11600000000000001</v>
      </c>
      <c r="F123" s="4">
        <v>0.111</v>
      </c>
      <c r="G123" s="4">
        <v>0.125</v>
      </c>
    </row>
    <row r="124" spans="1:7" x14ac:dyDescent="0.35">
      <c r="A124" s="5">
        <v>1.5</v>
      </c>
      <c r="B124" s="4">
        <v>5</v>
      </c>
      <c r="E124" s="4">
        <v>0.26500000000000001</v>
      </c>
      <c r="F124" s="4">
        <v>0.25600000000000001</v>
      </c>
      <c r="G124" s="4">
        <v>0.28699999999999998</v>
      </c>
    </row>
    <row r="125" spans="1:7" x14ac:dyDescent="0.35">
      <c r="A125" s="5">
        <v>1</v>
      </c>
      <c r="B125" s="4">
        <v>5</v>
      </c>
      <c r="E125" s="4">
        <v>0.41399999999999998</v>
      </c>
      <c r="F125" s="4">
        <v>0.40500000000000003</v>
      </c>
      <c r="G125" s="4">
        <v>0.42199999999999999</v>
      </c>
    </row>
    <row r="126" spans="1:7" x14ac:dyDescent="0.35">
      <c r="A126" s="5">
        <v>0.5</v>
      </c>
      <c r="B126" s="4">
        <v>5</v>
      </c>
      <c r="E126" s="4">
        <v>0.499</v>
      </c>
      <c r="F126" s="4">
        <v>0.48899999999999999</v>
      </c>
      <c r="G126" s="4">
        <v>0.51200000000000001</v>
      </c>
    </row>
    <row r="127" spans="1:7" x14ac:dyDescent="0.35">
      <c r="A127" s="5">
        <v>0</v>
      </c>
      <c r="B127" s="4">
        <v>5</v>
      </c>
      <c r="E127" s="4">
        <v>0.55200000000000005</v>
      </c>
      <c r="F127" s="4">
        <v>0.55000000000000004</v>
      </c>
      <c r="G127" s="4">
        <v>0.55800000000000005</v>
      </c>
    </row>
    <row r="128" spans="1:7" x14ac:dyDescent="0.35">
      <c r="A128" s="5">
        <v>-0.5</v>
      </c>
      <c r="B128" s="4">
        <v>5</v>
      </c>
      <c r="E128" s="4">
        <v>0.498</v>
      </c>
      <c r="F128" s="4">
        <v>0.49299999999999999</v>
      </c>
      <c r="G128" s="4">
        <v>0.5</v>
      </c>
    </row>
    <row r="129" spans="1:7" x14ac:dyDescent="0.35">
      <c r="A129" s="5">
        <v>-1</v>
      </c>
      <c r="B129" s="4">
        <v>5</v>
      </c>
      <c r="E129" s="4">
        <v>0.42899999999999999</v>
      </c>
      <c r="F129" s="4">
        <v>0.42399999999999999</v>
      </c>
      <c r="G129" s="4">
        <v>0.432</v>
      </c>
    </row>
    <row r="130" spans="1:7" x14ac:dyDescent="0.35">
      <c r="A130" s="5">
        <v>-1.5</v>
      </c>
      <c r="B130" s="4">
        <v>5</v>
      </c>
      <c r="E130" s="4">
        <v>0.34200000000000003</v>
      </c>
      <c r="F130" s="4">
        <v>0.33600000000000002</v>
      </c>
      <c r="G130" s="4">
        <v>0.34499999999999997</v>
      </c>
    </row>
    <row r="131" spans="1:7" x14ac:dyDescent="0.35">
      <c r="A131" s="5">
        <v>-2</v>
      </c>
      <c r="B131" s="4">
        <v>5</v>
      </c>
      <c r="E131" s="4">
        <v>0.28599999999999998</v>
      </c>
      <c r="F131" s="4">
        <v>0.28299999999999997</v>
      </c>
      <c r="G131" s="4">
        <v>0.28799999999999998</v>
      </c>
    </row>
    <row r="132" spans="1:7" x14ac:dyDescent="0.35">
      <c r="A132" s="5">
        <v>-2.5</v>
      </c>
      <c r="B132" s="4">
        <v>5</v>
      </c>
      <c r="E132" s="4">
        <v>0.19500000000000001</v>
      </c>
      <c r="F132" s="4">
        <v>0.19400000000000001</v>
      </c>
      <c r="G132" s="4">
        <v>0.19700000000000001</v>
      </c>
    </row>
    <row r="133" spans="1:7" x14ac:dyDescent="0.35">
      <c r="A133" s="5">
        <v>-3</v>
      </c>
      <c r="B133" s="4">
        <v>5</v>
      </c>
      <c r="E133" s="4">
        <v>0.13600000000000001</v>
      </c>
      <c r="F133" s="4">
        <v>0.13200000000000001</v>
      </c>
      <c r="G133" s="4">
        <v>0.13900000000000001</v>
      </c>
    </row>
    <row r="134" spans="1:7" x14ac:dyDescent="0.35">
      <c r="A134" s="5">
        <v>-3.5</v>
      </c>
      <c r="B134" s="4">
        <v>5</v>
      </c>
      <c r="E134" s="4">
        <v>0.10100000000000001</v>
      </c>
      <c r="F134" s="4">
        <v>0.1</v>
      </c>
      <c r="G134" s="4">
        <v>0.10199999999999999</v>
      </c>
    </row>
    <row r="135" spans="1:7" x14ac:dyDescent="0.35">
      <c r="A135" s="5">
        <v>-4</v>
      </c>
      <c r="B135" s="4">
        <v>5</v>
      </c>
      <c r="E135" s="4">
        <v>6.5000000000000002E-2</v>
      </c>
      <c r="F135" s="4">
        <v>6.4000000000000001E-2</v>
      </c>
      <c r="G135" s="4">
        <v>6.5000000000000002E-2</v>
      </c>
    </row>
    <row r="136" spans="1:7" x14ac:dyDescent="0.35">
      <c r="A136" s="5">
        <v>-4.5</v>
      </c>
      <c r="B136" s="4">
        <v>5</v>
      </c>
      <c r="E136" s="4">
        <v>4.4999999999999998E-2</v>
      </c>
      <c r="F136" s="4">
        <v>4.3999999999999997E-2</v>
      </c>
      <c r="G136" s="4">
        <v>4.5999999999999999E-2</v>
      </c>
    </row>
    <row r="137" spans="1:7" x14ac:dyDescent="0.35">
      <c r="A137" s="5">
        <v>-5</v>
      </c>
      <c r="B137" s="4">
        <v>5</v>
      </c>
      <c r="E137" s="4">
        <v>2.8000000000000001E-2</v>
      </c>
    </row>
    <row r="138" spans="1:7" x14ac:dyDescent="0.35">
      <c r="A138" s="5">
        <v>-5.5</v>
      </c>
      <c r="B138" s="4">
        <v>5</v>
      </c>
      <c r="E138" s="4">
        <v>1.2999999999999999E-2</v>
      </c>
    </row>
    <row r="139" spans="1:7" x14ac:dyDescent="0.35">
      <c r="A139" s="5">
        <v>-6</v>
      </c>
      <c r="B139" s="4">
        <v>5</v>
      </c>
      <c r="E139" s="4">
        <v>0.01</v>
      </c>
    </row>
    <row r="140" spans="1:7" x14ac:dyDescent="0.35">
      <c r="A140" s="5">
        <v>-6.5</v>
      </c>
      <c r="B140" s="4">
        <v>5</v>
      </c>
      <c r="E140" s="4">
        <v>6.0000000000000001E-3</v>
      </c>
    </row>
    <row r="141" spans="1:7" x14ac:dyDescent="0.35">
      <c r="A141" s="5">
        <v>-7</v>
      </c>
      <c r="B141" s="4">
        <v>5</v>
      </c>
      <c r="E141" s="4">
        <v>7.0000000000000001E-3</v>
      </c>
    </row>
    <row r="142" spans="1:7" x14ac:dyDescent="0.35">
      <c r="A142" s="5">
        <v>-7.5</v>
      </c>
      <c r="B142" s="4">
        <v>5</v>
      </c>
      <c r="E142" s="4">
        <v>8.9999999999999993E-3</v>
      </c>
    </row>
    <row r="143" spans="1:7" x14ac:dyDescent="0.35">
      <c r="A143" s="5">
        <v>-8</v>
      </c>
      <c r="B143" s="4">
        <v>5</v>
      </c>
      <c r="E143" s="4">
        <v>1.2E-2</v>
      </c>
    </row>
    <row r="144" spans="1:7" x14ac:dyDescent="0.35">
      <c r="A144" s="5">
        <v>-8.5</v>
      </c>
      <c r="B144" s="4">
        <v>5</v>
      </c>
      <c r="E144" s="4">
        <v>1.4E-2</v>
      </c>
    </row>
    <row r="145" spans="1:7" x14ac:dyDescent="0.35">
      <c r="A145" s="3" t="s">
        <v>28</v>
      </c>
      <c r="B145" s="2"/>
      <c r="C145" s="2"/>
      <c r="D145" s="2"/>
      <c r="E145" s="2"/>
      <c r="F145" s="2"/>
      <c r="G145" s="2"/>
    </row>
    <row r="146" spans="1:7" x14ac:dyDescent="0.35">
      <c r="A146">
        <v>4</v>
      </c>
      <c r="B146">
        <v>5</v>
      </c>
      <c r="E146" s="4">
        <v>1.6E-2</v>
      </c>
      <c r="F146" s="4">
        <v>1.6E-2</v>
      </c>
      <c r="G146" s="4">
        <v>1.7000000000000001E-2</v>
      </c>
    </row>
    <row r="147" spans="1:7" x14ac:dyDescent="0.35">
      <c r="A147">
        <v>4.5</v>
      </c>
      <c r="B147">
        <v>5</v>
      </c>
      <c r="E147" s="4">
        <v>5.3999999999999999E-2</v>
      </c>
      <c r="F147">
        <v>0.05</v>
      </c>
      <c r="G147">
        <v>0.06</v>
      </c>
    </row>
    <row r="148" spans="1:7" x14ac:dyDescent="0.35">
      <c r="A148">
        <v>5</v>
      </c>
      <c r="B148">
        <v>5</v>
      </c>
      <c r="E148" s="4">
        <v>0.14099999999999999</v>
      </c>
      <c r="F148">
        <v>0.13900000000000001</v>
      </c>
      <c r="G148">
        <v>0.14799999999999999</v>
      </c>
    </row>
    <row r="149" spans="1:7" x14ac:dyDescent="0.35">
      <c r="A149">
        <v>5.5</v>
      </c>
      <c r="B149">
        <v>5</v>
      </c>
      <c r="E149" s="4">
        <v>0.307</v>
      </c>
      <c r="F149">
        <v>0.29799999999999999</v>
      </c>
      <c r="G149">
        <v>0.314</v>
      </c>
    </row>
    <row r="150" spans="1:7" x14ac:dyDescent="0.35">
      <c r="A150">
        <v>6</v>
      </c>
      <c r="B150">
        <v>5</v>
      </c>
      <c r="E150" s="4">
        <v>0.433</v>
      </c>
      <c r="F150" s="4">
        <v>0.42599999999999999</v>
      </c>
      <c r="G150" s="4">
        <v>0.443</v>
      </c>
    </row>
    <row r="151" spans="1:7" x14ac:dyDescent="0.35">
      <c r="A151">
        <v>6.5</v>
      </c>
      <c r="B151">
        <v>5</v>
      </c>
      <c r="E151" s="4">
        <v>0.56699999999999995</v>
      </c>
      <c r="F151" s="4">
        <v>0.56100000000000005</v>
      </c>
      <c r="G151" s="4">
        <v>0.57099999999999995</v>
      </c>
    </row>
    <row r="152" spans="1:7" x14ac:dyDescent="0.35">
      <c r="A152">
        <v>7</v>
      </c>
      <c r="B152">
        <v>5</v>
      </c>
      <c r="E152" s="4">
        <v>0.58799999999999997</v>
      </c>
      <c r="F152" s="4">
        <v>0.58199999999999996</v>
      </c>
      <c r="G152" s="4">
        <v>0.59199999999999997</v>
      </c>
    </row>
    <row r="153" spans="1:7" x14ac:dyDescent="0.35">
      <c r="A153">
        <v>7.5</v>
      </c>
      <c r="B153">
        <v>5</v>
      </c>
      <c r="E153" s="4">
        <v>0.55400000000000005</v>
      </c>
      <c r="F153" s="4">
        <v>0.54800000000000004</v>
      </c>
      <c r="G153" s="4">
        <v>0.55900000000000005</v>
      </c>
    </row>
    <row r="154" spans="1:7" x14ac:dyDescent="0.35">
      <c r="A154">
        <v>8</v>
      </c>
      <c r="B154">
        <v>5</v>
      </c>
      <c r="E154" s="4">
        <v>0.45900000000000002</v>
      </c>
      <c r="F154" s="4">
        <v>0.45300000000000001</v>
      </c>
      <c r="G154" s="4">
        <v>0.46300000000000002</v>
      </c>
    </row>
    <row r="155" spans="1:7" x14ac:dyDescent="0.35">
      <c r="A155">
        <v>8.5</v>
      </c>
      <c r="B155">
        <v>5</v>
      </c>
      <c r="E155" s="4">
        <v>0.442</v>
      </c>
      <c r="F155" s="4">
        <v>0.434</v>
      </c>
      <c r="G155" s="4">
        <v>0.44700000000000001</v>
      </c>
    </row>
    <row r="156" spans="1:7" x14ac:dyDescent="0.35">
      <c r="A156">
        <v>9</v>
      </c>
      <c r="B156">
        <v>5</v>
      </c>
      <c r="E156" s="4">
        <v>0.25</v>
      </c>
      <c r="F156" s="4">
        <v>0.24399999999999999</v>
      </c>
      <c r="G156" s="4">
        <v>0.253</v>
      </c>
    </row>
    <row r="157" spans="1:7" x14ac:dyDescent="0.35">
      <c r="A157">
        <v>9.5</v>
      </c>
      <c r="B157">
        <v>5</v>
      </c>
      <c r="E157" s="4">
        <v>0.13500000000000001</v>
      </c>
      <c r="F157" s="4">
        <v>0.129</v>
      </c>
      <c r="G157" s="4">
        <v>0.13900000000000001</v>
      </c>
    </row>
    <row r="158" spans="1:7" x14ac:dyDescent="0.35">
      <c r="A158">
        <v>10</v>
      </c>
      <c r="B158">
        <v>5</v>
      </c>
      <c r="E158" s="4">
        <v>7.1999999999999995E-2</v>
      </c>
      <c r="F158" s="4">
        <v>7.0000000000000007E-2</v>
      </c>
      <c r="G158" s="4">
        <v>7.2999999999999995E-2</v>
      </c>
    </row>
    <row r="159" spans="1:7" x14ac:dyDescent="0.35">
      <c r="A159">
        <v>10.5</v>
      </c>
      <c r="B159">
        <v>5</v>
      </c>
      <c r="E159" s="4">
        <v>3.3000000000000002E-2</v>
      </c>
      <c r="F159" s="4">
        <v>3.2000000000000001E-2</v>
      </c>
      <c r="G159" s="4">
        <v>3.3000000000000002E-2</v>
      </c>
    </row>
    <row r="160" spans="1:7" x14ac:dyDescent="0.35">
      <c r="A160">
        <v>11</v>
      </c>
      <c r="B160">
        <v>5</v>
      </c>
      <c r="E160" s="4">
        <v>1.7000000000000001E-2</v>
      </c>
    </row>
    <row r="161" spans="1:7" x14ac:dyDescent="0.35">
      <c r="A161">
        <v>11.5</v>
      </c>
      <c r="B161">
        <v>5</v>
      </c>
      <c r="E161" s="4">
        <v>1.4E-2</v>
      </c>
      <c r="F161" s="4">
        <v>1.2999999999999999E-2</v>
      </c>
      <c r="G161" s="4">
        <v>1.4999999999999999E-2</v>
      </c>
    </row>
    <row r="162" spans="1:7" x14ac:dyDescent="0.35">
      <c r="A162">
        <v>12</v>
      </c>
      <c r="B162">
        <v>5</v>
      </c>
      <c r="E162" s="4">
        <v>1.2999999999999999E-2</v>
      </c>
    </row>
    <row r="163" spans="1:7" x14ac:dyDescent="0.35">
      <c r="A163">
        <v>12.5</v>
      </c>
      <c r="B163">
        <v>5</v>
      </c>
      <c r="E163" s="4">
        <v>1.4E-2</v>
      </c>
    </row>
    <row r="164" spans="1:7" x14ac:dyDescent="0.35">
      <c r="A164">
        <v>13</v>
      </c>
      <c r="B164">
        <v>5</v>
      </c>
      <c r="E164" s="4">
        <v>1.4999999999999999E-2</v>
      </c>
    </row>
    <row r="165" spans="1:7" x14ac:dyDescent="0.35">
      <c r="A165" s="3" t="s">
        <v>47</v>
      </c>
      <c r="B165" s="2"/>
      <c r="C165" s="2"/>
      <c r="D165" s="2"/>
      <c r="E165" s="2"/>
      <c r="F165" s="2"/>
      <c r="G165" s="2"/>
    </row>
    <row r="166" spans="1:7" x14ac:dyDescent="0.35">
      <c r="A166">
        <v>14</v>
      </c>
      <c r="B166">
        <v>5</v>
      </c>
      <c r="E166" s="4">
        <v>6.0000000000000001E-3</v>
      </c>
      <c r="F166" s="4">
        <v>5.0000000000000001E-3</v>
      </c>
      <c r="G166" s="4">
        <v>8.9999999999999993E-3</v>
      </c>
    </row>
    <row r="167" spans="1:7" x14ac:dyDescent="0.35">
      <c r="A167">
        <v>14.5</v>
      </c>
      <c r="B167">
        <v>5</v>
      </c>
      <c r="E167" s="4">
        <v>0.24199999999999999</v>
      </c>
      <c r="F167" s="4">
        <v>0.23699999999999999</v>
      </c>
      <c r="G167" s="4">
        <v>0.246</v>
      </c>
    </row>
    <row r="168" spans="1:7" x14ac:dyDescent="0.35">
      <c r="A168">
        <v>15</v>
      </c>
      <c r="B168">
        <v>5</v>
      </c>
      <c r="E168" s="4">
        <v>0.41199999999999998</v>
      </c>
      <c r="F168">
        <v>0.40600000000000003</v>
      </c>
      <c r="G168">
        <v>0.42699999999999999</v>
      </c>
    </row>
    <row r="169" spans="1:7" x14ac:dyDescent="0.35">
      <c r="A169">
        <v>15.5</v>
      </c>
      <c r="B169">
        <v>5</v>
      </c>
      <c r="E169" s="4">
        <v>0.59199999999999997</v>
      </c>
      <c r="F169" s="4">
        <v>0.58699999999999997</v>
      </c>
      <c r="G169" s="4">
        <v>0.60699999999999998</v>
      </c>
    </row>
    <row r="170" spans="1:7" x14ac:dyDescent="0.35">
      <c r="A170">
        <v>16</v>
      </c>
      <c r="B170">
        <v>5</v>
      </c>
      <c r="E170" s="4">
        <v>0.72899999999999998</v>
      </c>
      <c r="F170" s="4">
        <v>0.72299999999999998</v>
      </c>
      <c r="G170" s="4">
        <v>0.73499999999999999</v>
      </c>
    </row>
    <row r="171" spans="1:7" x14ac:dyDescent="0.35">
      <c r="A171">
        <v>16.5</v>
      </c>
      <c r="B171">
        <v>5</v>
      </c>
      <c r="E171" s="4">
        <v>0.76900000000000002</v>
      </c>
      <c r="F171" s="4">
        <v>0.76500000000000001</v>
      </c>
      <c r="G171" s="4">
        <v>0.77300000000000002</v>
      </c>
    </row>
    <row r="172" spans="1:7" x14ac:dyDescent="0.35">
      <c r="A172">
        <v>17</v>
      </c>
      <c r="B172">
        <v>5</v>
      </c>
      <c r="E172" s="4">
        <v>0.69199999999999995</v>
      </c>
      <c r="F172" s="4">
        <v>0.68600000000000005</v>
      </c>
      <c r="G172" s="4">
        <v>0.7</v>
      </c>
    </row>
    <row r="173" spans="1:7" x14ac:dyDescent="0.35">
      <c r="A173">
        <v>17.5</v>
      </c>
      <c r="B173">
        <v>5</v>
      </c>
      <c r="E173" s="4">
        <v>0.57299999999999995</v>
      </c>
      <c r="F173" s="4">
        <v>0.56799999999999995</v>
      </c>
      <c r="G173" s="4">
        <v>0.58599999999999997</v>
      </c>
    </row>
    <row r="174" spans="1:7" x14ac:dyDescent="0.35">
      <c r="A174">
        <v>18</v>
      </c>
      <c r="B174">
        <v>5</v>
      </c>
      <c r="E174" s="4">
        <v>0.39200000000000002</v>
      </c>
      <c r="F174" s="4">
        <v>0.38300000000000001</v>
      </c>
      <c r="G174" s="4">
        <v>0.39500000000000002</v>
      </c>
    </row>
    <row r="175" spans="1:7" x14ac:dyDescent="0.35">
      <c r="A175">
        <v>18.5</v>
      </c>
      <c r="B175">
        <v>5</v>
      </c>
      <c r="E175" s="4">
        <v>0.25600000000000001</v>
      </c>
      <c r="F175" s="4">
        <v>0.253</v>
      </c>
      <c r="G175" s="4">
        <v>0.26</v>
      </c>
    </row>
    <row r="176" spans="1:7" x14ac:dyDescent="0.35">
      <c r="A176">
        <v>19</v>
      </c>
      <c r="B176">
        <v>5</v>
      </c>
      <c r="E176" s="4">
        <v>0.16200000000000001</v>
      </c>
      <c r="F176" s="4">
        <v>0.161</v>
      </c>
      <c r="G176" s="4">
        <v>0.16400000000000001</v>
      </c>
    </row>
    <row r="177" spans="1:7" x14ac:dyDescent="0.35">
      <c r="A177">
        <v>19.5</v>
      </c>
      <c r="B177">
        <v>5</v>
      </c>
      <c r="E177" s="4">
        <v>9.2999999999999999E-2</v>
      </c>
      <c r="F177" s="4">
        <v>8.8999999999999996E-2</v>
      </c>
      <c r="G177" s="4">
        <v>9.4E-2</v>
      </c>
    </row>
    <row r="178" spans="1:7" x14ac:dyDescent="0.35">
      <c r="A178">
        <v>20</v>
      </c>
      <c r="B178">
        <v>5</v>
      </c>
      <c r="E178" s="4">
        <v>5.5E-2</v>
      </c>
      <c r="F178" s="4">
        <v>5.5E-2</v>
      </c>
      <c r="G178" s="4">
        <v>5.6000000000000001E-2</v>
      </c>
    </row>
    <row r="179" spans="1:7" x14ac:dyDescent="0.35">
      <c r="A179">
        <v>20.5</v>
      </c>
      <c r="B179">
        <v>5</v>
      </c>
      <c r="E179" s="4">
        <v>3.2000000000000001E-2</v>
      </c>
      <c r="F179" s="4">
        <v>3.1E-2</v>
      </c>
      <c r="G179" s="4">
        <v>3.2000000000000001E-2</v>
      </c>
    </row>
    <row r="180" spans="1:7" x14ac:dyDescent="0.35">
      <c r="A180">
        <v>21</v>
      </c>
      <c r="B180">
        <v>5</v>
      </c>
      <c r="E180" s="4">
        <v>1.9E-2</v>
      </c>
      <c r="F180" s="4">
        <v>1.9E-2</v>
      </c>
      <c r="G180" s="4">
        <v>0.02</v>
      </c>
    </row>
    <row r="181" spans="1:7" x14ac:dyDescent="0.35">
      <c r="A181">
        <v>21.5</v>
      </c>
      <c r="B181">
        <v>5</v>
      </c>
      <c r="E181" s="4">
        <v>1.4E-2</v>
      </c>
      <c r="F181" s="4">
        <v>1.2999999999999999E-2</v>
      </c>
      <c r="G181" s="4">
        <v>1.4E-2</v>
      </c>
    </row>
    <row r="182" spans="1:7" x14ac:dyDescent="0.35">
      <c r="A182">
        <v>22</v>
      </c>
      <c r="B182">
        <v>5</v>
      </c>
      <c r="E182" s="4">
        <v>0.01</v>
      </c>
    </row>
    <row r="183" spans="1:7" x14ac:dyDescent="0.35">
      <c r="A183">
        <v>22.5</v>
      </c>
      <c r="B183">
        <v>5</v>
      </c>
      <c r="E183" s="4">
        <v>8.9999999999999993E-3</v>
      </c>
    </row>
    <row r="184" spans="1:7" x14ac:dyDescent="0.35">
      <c r="A184">
        <v>23</v>
      </c>
      <c r="B184">
        <v>5</v>
      </c>
      <c r="E184" s="4">
        <v>8.9999999999999993E-3</v>
      </c>
    </row>
    <row r="185" spans="1:7" x14ac:dyDescent="0.35">
      <c r="A185">
        <v>23.5</v>
      </c>
      <c r="B185">
        <v>5</v>
      </c>
      <c r="E185" s="4">
        <v>7.0000000000000001E-3</v>
      </c>
    </row>
    <row r="186" spans="1:7" x14ac:dyDescent="0.35">
      <c r="A186">
        <v>24</v>
      </c>
      <c r="B186">
        <v>5</v>
      </c>
      <c r="E186" s="4">
        <v>5.0000000000000001E-3</v>
      </c>
    </row>
    <row r="187" spans="1:7" x14ac:dyDescent="0.35">
      <c r="A187">
        <v>23.5</v>
      </c>
      <c r="B187">
        <v>5</v>
      </c>
      <c r="E187" s="4">
        <v>8.9999999999999993E-3</v>
      </c>
    </row>
    <row r="188" spans="1:7" x14ac:dyDescent="0.35">
      <c r="A188">
        <v>23</v>
      </c>
      <c r="B188">
        <v>5</v>
      </c>
      <c r="E188" s="4">
        <v>8.9999999999999993E-3</v>
      </c>
    </row>
    <row r="189" spans="1:7" x14ac:dyDescent="0.35">
      <c r="A189">
        <v>22.5</v>
      </c>
      <c r="B189">
        <v>5</v>
      </c>
      <c r="E189" s="4">
        <v>1.0999999999999999E-2</v>
      </c>
    </row>
    <row r="190" spans="1:7" x14ac:dyDescent="0.35">
      <c r="A190">
        <v>22</v>
      </c>
      <c r="B190">
        <v>5</v>
      </c>
      <c r="E190" s="4">
        <v>1.4E-2</v>
      </c>
    </row>
    <row r="191" spans="1:7" x14ac:dyDescent="0.35">
      <c r="A191">
        <v>21.5</v>
      </c>
      <c r="B191">
        <v>5</v>
      </c>
      <c r="E191" s="4">
        <v>2.1999999999999999E-2</v>
      </c>
    </row>
    <row r="192" spans="1:7" x14ac:dyDescent="0.35">
      <c r="A192">
        <v>21</v>
      </c>
      <c r="B192">
        <v>5</v>
      </c>
      <c r="E192" s="4">
        <v>3.5000000000000003E-2</v>
      </c>
    </row>
    <row r="193" spans="1:7" x14ac:dyDescent="0.35">
      <c r="A193">
        <v>20.5</v>
      </c>
      <c r="B193">
        <v>5</v>
      </c>
      <c r="E193" s="4">
        <v>6.8000000000000005E-2</v>
      </c>
      <c r="F193" s="4">
        <v>6.5000000000000002E-2</v>
      </c>
      <c r="G193" s="4">
        <v>6.9000000000000006E-2</v>
      </c>
    </row>
    <row r="194" spans="1:7" x14ac:dyDescent="0.35">
      <c r="A194">
        <v>20</v>
      </c>
      <c r="B194">
        <v>5</v>
      </c>
      <c r="E194" s="4">
        <v>0.11600000000000001</v>
      </c>
      <c r="F194" s="4">
        <v>0.113</v>
      </c>
      <c r="G194" s="4">
        <v>0.11899999999999999</v>
      </c>
    </row>
    <row r="195" spans="1:7" x14ac:dyDescent="0.35">
      <c r="A195">
        <v>19.5</v>
      </c>
      <c r="B195">
        <v>5</v>
      </c>
      <c r="E195" s="4">
        <v>0.188</v>
      </c>
      <c r="F195">
        <v>0.185</v>
      </c>
      <c r="G195">
        <v>0.19500000000000001</v>
      </c>
    </row>
    <row r="196" spans="1:7" x14ac:dyDescent="0.35">
      <c r="A196">
        <v>19</v>
      </c>
      <c r="B196">
        <v>5</v>
      </c>
      <c r="E196" s="4">
        <v>0.40400000000000003</v>
      </c>
      <c r="F196">
        <v>0.39700000000000002</v>
      </c>
      <c r="G196">
        <v>0.41399999999999998</v>
      </c>
    </row>
    <row r="197" spans="1:7" x14ac:dyDescent="0.35">
      <c r="A197">
        <v>18.5</v>
      </c>
      <c r="B197">
        <v>5</v>
      </c>
      <c r="E197" s="4">
        <v>0.55600000000000005</v>
      </c>
      <c r="F197">
        <v>0.54900000000000004</v>
      </c>
      <c r="G197">
        <v>0.56599999999999995</v>
      </c>
    </row>
    <row r="198" spans="1:7" x14ac:dyDescent="0.35">
      <c r="A198">
        <v>18</v>
      </c>
      <c r="B198">
        <v>5</v>
      </c>
      <c r="E198" s="4">
        <v>0.68400000000000005</v>
      </c>
      <c r="F198">
        <v>0.67100000000000004</v>
      </c>
      <c r="G198">
        <v>0.68899999999999995</v>
      </c>
    </row>
    <row r="199" spans="1:7" x14ac:dyDescent="0.35">
      <c r="A199">
        <v>17.5</v>
      </c>
      <c r="B199">
        <v>5</v>
      </c>
      <c r="E199" s="4">
        <v>0.76100000000000001</v>
      </c>
      <c r="F199" s="4">
        <v>0.753</v>
      </c>
      <c r="G199" s="4">
        <v>0.76300000000000001</v>
      </c>
    </row>
    <row r="200" spans="1:7" x14ac:dyDescent="0.35">
      <c r="A200">
        <v>17</v>
      </c>
      <c r="B200">
        <v>5</v>
      </c>
      <c r="E200" s="4">
        <v>0.747</v>
      </c>
      <c r="F200" s="4">
        <v>0.74399999999999999</v>
      </c>
      <c r="G200" s="4">
        <v>0.749</v>
      </c>
    </row>
    <row r="201" spans="1:7" x14ac:dyDescent="0.35">
      <c r="A201">
        <v>16.5</v>
      </c>
      <c r="B201">
        <v>5</v>
      </c>
      <c r="E201" s="4">
        <v>0.63</v>
      </c>
      <c r="F201" s="4">
        <v>0.626</v>
      </c>
      <c r="G201" s="4">
        <v>0.63600000000000001</v>
      </c>
    </row>
    <row r="202" spans="1:7" x14ac:dyDescent="0.35">
      <c r="A202">
        <v>16</v>
      </c>
      <c r="B202">
        <v>5</v>
      </c>
      <c r="E202" s="4">
        <v>0.51100000000000001</v>
      </c>
      <c r="F202" s="4">
        <v>0.502</v>
      </c>
      <c r="G202" s="4">
        <v>0.51700000000000002</v>
      </c>
    </row>
    <row r="203" spans="1:7" x14ac:dyDescent="0.35">
      <c r="A203">
        <v>15.5</v>
      </c>
      <c r="B203">
        <v>5</v>
      </c>
      <c r="E203" s="4">
        <v>0.318</v>
      </c>
      <c r="F203" s="4">
        <v>0.308</v>
      </c>
      <c r="G203" s="4">
        <v>0.32600000000000001</v>
      </c>
    </row>
    <row r="204" spans="1:7" x14ac:dyDescent="0.35">
      <c r="A204">
        <v>15</v>
      </c>
      <c r="B204">
        <v>5</v>
      </c>
      <c r="E204" s="4">
        <v>0.128</v>
      </c>
      <c r="F204" s="4">
        <v>0.123</v>
      </c>
      <c r="G204" s="4">
        <v>0.13300000000000001</v>
      </c>
    </row>
    <row r="205" spans="1:7" x14ac:dyDescent="0.35">
      <c r="A205">
        <v>14.5</v>
      </c>
      <c r="B205">
        <v>5</v>
      </c>
      <c r="E205" s="4">
        <v>2.5000000000000001E-2</v>
      </c>
      <c r="F205" s="4">
        <v>2.3E-2</v>
      </c>
      <c r="G205" s="4">
        <v>2.5999999999999999E-2</v>
      </c>
    </row>
    <row r="206" spans="1:7" x14ac:dyDescent="0.35">
      <c r="A206">
        <v>14</v>
      </c>
      <c r="B206">
        <v>5</v>
      </c>
      <c r="E206" s="4">
        <v>1.2E-2</v>
      </c>
      <c r="F206" s="4">
        <v>8.9999999999999993E-3</v>
      </c>
      <c r="G206" s="4">
        <v>1.2999999999999999E-2</v>
      </c>
    </row>
    <row r="207" spans="1:7" x14ac:dyDescent="0.35">
      <c r="A207">
        <v>13.5</v>
      </c>
      <c r="B207">
        <v>5</v>
      </c>
      <c r="E207" s="4">
        <v>3.3000000000000002E-2</v>
      </c>
      <c r="F207" s="4">
        <v>3.2000000000000001E-2</v>
      </c>
      <c r="G207" s="4">
        <v>3.5999999999999997E-2</v>
      </c>
    </row>
    <row r="208" spans="1:7" x14ac:dyDescent="0.35">
      <c r="A208">
        <v>13</v>
      </c>
      <c r="B208">
        <v>5</v>
      </c>
      <c r="E208" s="4">
        <v>0.122</v>
      </c>
      <c r="F208" s="4">
        <v>0.11700000000000001</v>
      </c>
      <c r="G208" s="4">
        <v>0.13</v>
      </c>
    </row>
    <row r="209" spans="1:7" x14ac:dyDescent="0.35">
      <c r="A209">
        <v>12.5</v>
      </c>
      <c r="B209">
        <v>5</v>
      </c>
      <c r="E209" s="4">
        <v>0.252</v>
      </c>
      <c r="F209" s="4">
        <v>0.246</v>
      </c>
      <c r="G209" s="4">
        <v>0.25900000000000001</v>
      </c>
    </row>
    <row r="210" spans="1:7" x14ac:dyDescent="0.35">
      <c r="A210">
        <v>12</v>
      </c>
      <c r="B210">
        <v>5</v>
      </c>
      <c r="E210" s="4">
        <v>0.36699999999999999</v>
      </c>
      <c r="F210" s="4">
        <v>0.35299999999999998</v>
      </c>
      <c r="G210" s="4">
        <v>0.372</v>
      </c>
    </row>
    <row r="211" spans="1:7" x14ac:dyDescent="0.35">
      <c r="A211">
        <v>11.5</v>
      </c>
      <c r="B211">
        <v>5</v>
      </c>
      <c r="E211" s="4">
        <v>0.44</v>
      </c>
      <c r="F211" s="4">
        <v>0.437</v>
      </c>
      <c r="G211" s="4">
        <v>0.44500000000000001</v>
      </c>
    </row>
    <row r="212" spans="1:7" x14ac:dyDescent="0.35">
      <c r="A212">
        <v>11</v>
      </c>
      <c r="B212">
        <v>5</v>
      </c>
      <c r="E212" s="4">
        <v>0.47599999999999998</v>
      </c>
      <c r="F212" s="4">
        <v>0.47099999999999997</v>
      </c>
      <c r="G212" s="4">
        <v>0.48</v>
      </c>
    </row>
    <row r="213" spans="1:7" x14ac:dyDescent="0.35">
      <c r="A213">
        <v>10.5</v>
      </c>
      <c r="B213">
        <v>5</v>
      </c>
      <c r="E213" s="4">
        <v>0.47799999999999998</v>
      </c>
      <c r="F213" s="4">
        <v>0.48099999999999998</v>
      </c>
      <c r="G213" s="4">
        <v>0.48399999999999999</v>
      </c>
    </row>
    <row r="214" spans="1:7" x14ac:dyDescent="0.35">
      <c r="A214">
        <v>10</v>
      </c>
      <c r="B214">
        <v>5</v>
      </c>
      <c r="E214" s="4">
        <v>0.45700000000000002</v>
      </c>
      <c r="F214" s="4">
        <v>0.45600000000000002</v>
      </c>
      <c r="G214" s="4">
        <v>0.46</v>
      </c>
    </row>
    <row r="215" spans="1:7" x14ac:dyDescent="0.35">
      <c r="A215" s="3" t="s">
        <v>47</v>
      </c>
      <c r="B215" s="2"/>
      <c r="C215" s="2"/>
      <c r="D215" s="2"/>
      <c r="E215" s="2"/>
      <c r="F215" s="2"/>
      <c r="G215" s="2"/>
    </row>
    <row r="216" spans="1:7" x14ac:dyDescent="0.35">
      <c r="A216">
        <v>13.5</v>
      </c>
      <c r="B216">
        <v>5</v>
      </c>
      <c r="E216" s="4">
        <v>2.1000000000000001E-2</v>
      </c>
      <c r="F216" s="4">
        <v>1.9E-2</v>
      </c>
      <c r="G216" s="4">
        <v>2.5000000000000001E-2</v>
      </c>
    </row>
    <row r="217" spans="1:7" x14ac:dyDescent="0.35">
      <c r="A217">
        <v>14</v>
      </c>
      <c r="B217">
        <v>5</v>
      </c>
      <c r="E217" s="4">
        <v>0.216</v>
      </c>
      <c r="F217" s="4">
        <v>0.20699999999999999</v>
      </c>
      <c r="G217" s="4">
        <v>0.222</v>
      </c>
    </row>
    <row r="218" spans="1:7" x14ac:dyDescent="0.35">
      <c r="A218">
        <v>14.5</v>
      </c>
      <c r="B218">
        <v>5</v>
      </c>
      <c r="E218" s="4">
        <v>0.434</v>
      </c>
      <c r="F218" s="4">
        <v>0.42299999999999999</v>
      </c>
      <c r="G218" s="4">
        <v>0.437</v>
      </c>
    </row>
    <row r="219" spans="1:7" x14ac:dyDescent="0.35">
      <c r="A219">
        <v>15</v>
      </c>
      <c r="B219">
        <v>5</v>
      </c>
      <c r="E219" s="4">
        <v>0.56699999999999995</v>
      </c>
      <c r="F219" s="4">
        <v>0.55900000000000005</v>
      </c>
      <c r="G219" s="4">
        <v>0.57499999999999996</v>
      </c>
    </row>
    <row r="220" spans="1:7" x14ac:dyDescent="0.35">
      <c r="A220">
        <v>15.5</v>
      </c>
      <c r="B220">
        <v>5</v>
      </c>
      <c r="E220" s="4">
        <v>0.70699999999999996</v>
      </c>
      <c r="F220" s="4">
        <v>0.70099999999999996</v>
      </c>
      <c r="G220" s="4">
        <v>0.70899999999999996</v>
      </c>
    </row>
    <row r="221" spans="1:7" x14ac:dyDescent="0.35">
      <c r="A221">
        <v>16</v>
      </c>
      <c r="B221">
        <v>5</v>
      </c>
      <c r="E221" s="4">
        <v>0.73499999999999999</v>
      </c>
      <c r="F221" s="4">
        <v>0.72899999999999998</v>
      </c>
      <c r="G221" s="4">
        <v>0.74099999999999999</v>
      </c>
    </row>
    <row r="222" spans="1:7" x14ac:dyDescent="0.35">
      <c r="A222">
        <v>16.5</v>
      </c>
      <c r="B222">
        <v>5</v>
      </c>
      <c r="E222" s="4">
        <v>0.69699999999999995</v>
      </c>
      <c r="F222" s="4">
        <v>0.68899999999999995</v>
      </c>
      <c r="G222" s="4">
        <v>0.7</v>
      </c>
    </row>
    <row r="223" spans="1:7" x14ac:dyDescent="0.35">
      <c r="A223">
        <v>17</v>
      </c>
      <c r="B223">
        <v>5</v>
      </c>
      <c r="E223" s="4">
        <v>0.58199999999999996</v>
      </c>
      <c r="F223" s="4">
        <v>0.57599999999999996</v>
      </c>
      <c r="G223" s="4">
        <v>590</v>
      </c>
    </row>
    <row r="224" spans="1:7" x14ac:dyDescent="0.35">
      <c r="A224">
        <v>17.5</v>
      </c>
      <c r="B224">
        <v>5</v>
      </c>
      <c r="E224" s="4">
        <v>0.41499999999999998</v>
      </c>
      <c r="F224" s="4">
        <v>0.40500000000000003</v>
      </c>
      <c r="G224" s="4">
        <v>0.42199999999999999</v>
      </c>
    </row>
    <row r="225" spans="1:7" x14ac:dyDescent="0.35">
      <c r="A225">
        <v>18</v>
      </c>
      <c r="B225">
        <v>5</v>
      </c>
      <c r="E225" s="4">
        <v>0.32300000000000001</v>
      </c>
      <c r="F225" s="4">
        <v>0.317</v>
      </c>
      <c r="G225" s="4">
        <v>0.32900000000000001</v>
      </c>
    </row>
    <row r="226" spans="1:7" x14ac:dyDescent="0.35">
      <c r="A226">
        <v>18.5</v>
      </c>
      <c r="B226">
        <v>5</v>
      </c>
      <c r="E226" s="4">
        <v>0.19400000000000001</v>
      </c>
      <c r="F226" s="4">
        <v>0.189</v>
      </c>
      <c r="G226" s="4">
        <v>0.20200000000000001</v>
      </c>
    </row>
    <row r="227" spans="1:7" x14ac:dyDescent="0.35">
      <c r="A227">
        <v>19</v>
      </c>
      <c r="B227">
        <v>5</v>
      </c>
      <c r="E227" s="4">
        <v>0.11700000000000001</v>
      </c>
      <c r="F227" s="4">
        <v>0.114</v>
      </c>
      <c r="G227" s="4">
        <v>0.11799999999999999</v>
      </c>
    </row>
    <row r="228" spans="1:7" x14ac:dyDescent="0.35">
      <c r="A228">
        <v>19.5</v>
      </c>
      <c r="B228">
        <v>5</v>
      </c>
      <c r="E228" s="4">
        <v>0.06</v>
      </c>
      <c r="F228" s="4">
        <v>5.8000000000000003E-2</v>
      </c>
      <c r="G228" s="4">
        <v>6.0999999999999999E-2</v>
      </c>
    </row>
    <row r="229" spans="1:7" x14ac:dyDescent="0.35">
      <c r="A229">
        <v>20</v>
      </c>
      <c r="B229">
        <v>5</v>
      </c>
      <c r="E229" s="4">
        <v>4.3999999999999997E-2</v>
      </c>
      <c r="F229" s="4">
        <v>4.3999999999999997E-2</v>
      </c>
      <c r="G229" s="4">
        <v>4.4999999999999998E-2</v>
      </c>
    </row>
    <row r="230" spans="1:7" x14ac:dyDescent="0.35">
      <c r="A230">
        <v>20.5</v>
      </c>
      <c r="B230">
        <v>5</v>
      </c>
      <c r="E230" s="4">
        <v>3.2000000000000001E-2</v>
      </c>
      <c r="F230" s="4">
        <v>3.2000000000000001E-2</v>
      </c>
      <c r="G230" s="4">
        <v>3.3000000000000002E-2</v>
      </c>
    </row>
    <row r="231" spans="1:7" x14ac:dyDescent="0.35">
      <c r="A231">
        <v>21</v>
      </c>
      <c r="B231">
        <v>5</v>
      </c>
      <c r="E231" s="4">
        <v>2.5000000000000001E-2</v>
      </c>
    </row>
    <row r="232" spans="1:7" x14ac:dyDescent="0.35">
      <c r="A232">
        <v>21.5</v>
      </c>
      <c r="B232">
        <v>5</v>
      </c>
      <c r="E232" s="4">
        <v>1.7999999999999999E-2</v>
      </c>
    </row>
    <row r="233" spans="1:7" x14ac:dyDescent="0.35">
      <c r="A233">
        <v>22</v>
      </c>
      <c r="B233">
        <v>5</v>
      </c>
      <c r="E233" s="4">
        <v>1.4999999999999999E-2</v>
      </c>
    </row>
    <row r="234" spans="1:7" x14ac:dyDescent="0.35">
      <c r="A234">
        <v>22.5</v>
      </c>
      <c r="B234">
        <v>5</v>
      </c>
      <c r="E234" s="4">
        <v>1.2999999999999999E-2</v>
      </c>
    </row>
    <row r="235" spans="1:7" x14ac:dyDescent="0.35">
      <c r="A235">
        <v>23</v>
      </c>
      <c r="B235">
        <v>5</v>
      </c>
      <c r="E235" s="4">
        <v>1.0999999999999999E-2</v>
      </c>
    </row>
    <row r="236" spans="1:7" x14ac:dyDescent="0.35">
      <c r="A236">
        <v>23.5</v>
      </c>
      <c r="B236">
        <v>5</v>
      </c>
      <c r="E236" s="4">
        <v>8.0000000000000002E-3</v>
      </c>
      <c r="F236" s="4">
        <v>8.0000000000000002E-3</v>
      </c>
      <c r="G236" s="4">
        <v>8.9999999999999993E-3</v>
      </c>
    </row>
    <row r="237" spans="1:7" x14ac:dyDescent="0.35">
      <c r="A237">
        <v>24</v>
      </c>
      <c r="B237">
        <v>5</v>
      </c>
      <c r="E237" s="4">
        <v>4.0000000000000001E-3</v>
      </c>
    </row>
    <row r="238" spans="1:7" x14ac:dyDescent="0.35">
      <c r="A238">
        <v>23.5</v>
      </c>
      <c r="B238">
        <v>5</v>
      </c>
      <c r="E238" s="4">
        <v>1.0999999999999999E-2</v>
      </c>
    </row>
    <row r="239" spans="1:7" x14ac:dyDescent="0.35">
      <c r="A239">
        <v>23</v>
      </c>
      <c r="B239">
        <v>5</v>
      </c>
      <c r="E239" s="4">
        <v>1.2999999999999999E-2</v>
      </c>
    </row>
    <row r="240" spans="1:7" x14ac:dyDescent="0.35">
      <c r="A240">
        <v>22.5</v>
      </c>
      <c r="B240">
        <v>5</v>
      </c>
      <c r="E240" s="4">
        <v>1.4E-2</v>
      </c>
    </row>
    <row r="241" spans="1:11" x14ac:dyDescent="0.35">
      <c r="A241">
        <v>22</v>
      </c>
      <c r="B241">
        <v>5</v>
      </c>
      <c r="E241" s="4">
        <v>1.7000000000000001E-2</v>
      </c>
    </row>
    <row r="242" spans="1:11" x14ac:dyDescent="0.35">
      <c r="A242">
        <v>21.5</v>
      </c>
      <c r="B242">
        <v>5</v>
      </c>
      <c r="E242" s="4">
        <v>2.1999999999999999E-2</v>
      </c>
    </row>
    <row r="243" spans="1:11" x14ac:dyDescent="0.35">
      <c r="A243">
        <v>21</v>
      </c>
      <c r="B243">
        <v>5</v>
      </c>
      <c r="E243" s="4">
        <v>3.5000000000000003E-2</v>
      </c>
      <c r="F243" s="4">
        <v>3.5000000000000003E-2</v>
      </c>
      <c r="G243" s="4">
        <v>3.5999999999999997E-2</v>
      </c>
    </row>
    <row r="244" spans="1:11" x14ac:dyDescent="0.35">
      <c r="A244">
        <v>20.5</v>
      </c>
      <c r="B244">
        <v>5</v>
      </c>
      <c r="E244" s="4">
        <v>6.0999999999999999E-2</v>
      </c>
      <c r="F244" s="4">
        <v>6.0999999999999999E-2</v>
      </c>
      <c r="G244" s="4">
        <v>6.2E-2</v>
      </c>
    </row>
    <row r="245" spans="1:11" x14ac:dyDescent="0.35">
      <c r="A245">
        <v>20</v>
      </c>
      <c r="B245">
        <v>5</v>
      </c>
      <c r="E245" s="4">
        <v>9.7000000000000003E-2</v>
      </c>
      <c r="F245" s="4">
        <v>9.5000000000000001E-2</v>
      </c>
      <c r="G245" s="4">
        <v>0.1</v>
      </c>
    </row>
    <row r="246" spans="1:11" x14ac:dyDescent="0.35">
      <c r="A246">
        <v>19.5</v>
      </c>
      <c r="B246">
        <v>5</v>
      </c>
      <c r="E246" s="4">
        <v>0.16900000000000001</v>
      </c>
      <c r="F246" s="4">
        <v>0.16500000000000001</v>
      </c>
      <c r="G246" s="4">
        <v>0.17199999999999999</v>
      </c>
    </row>
    <row r="247" spans="1:11" x14ac:dyDescent="0.35">
      <c r="A247">
        <v>19</v>
      </c>
      <c r="B247">
        <v>5</v>
      </c>
      <c r="E247" s="4">
        <v>0.28599999999999998</v>
      </c>
      <c r="F247" s="4">
        <v>0.27500000000000002</v>
      </c>
      <c r="G247" s="4">
        <v>0.29099999999999998</v>
      </c>
    </row>
    <row r="248" spans="1:11" x14ac:dyDescent="0.35">
      <c r="A248">
        <v>18.5</v>
      </c>
      <c r="B248">
        <v>5</v>
      </c>
      <c r="E248" s="4">
        <v>0.41599999999999998</v>
      </c>
      <c r="F248" s="4">
        <v>0.41199999999999998</v>
      </c>
      <c r="G248" s="4">
        <v>0.42399999999999999</v>
      </c>
    </row>
    <row r="249" spans="1:11" x14ac:dyDescent="0.35">
      <c r="A249">
        <v>18</v>
      </c>
      <c r="B249">
        <v>5</v>
      </c>
      <c r="E249" s="4">
        <v>0.55300000000000005</v>
      </c>
      <c r="F249" s="4">
        <v>0.55100000000000005</v>
      </c>
      <c r="G249" s="4">
        <v>0.56200000000000006</v>
      </c>
      <c r="K249">
        <v>0</v>
      </c>
    </row>
    <row r="250" spans="1:11" x14ac:dyDescent="0.35">
      <c r="A250">
        <v>17.5</v>
      </c>
      <c r="B250">
        <v>5</v>
      </c>
      <c r="E250" s="4">
        <v>0.68200000000000005</v>
      </c>
      <c r="F250" s="4">
        <v>0.67</v>
      </c>
      <c r="G250" s="4">
        <v>0.69699999999999995</v>
      </c>
    </row>
    <row r="251" spans="1:11" x14ac:dyDescent="0.35">
      <c r="A251">
        <v>17</v>
      </c>
      <c r="B251">
        <v>5</v>
      </c>
      <c r="E251" s="4">
        <v>0.749</v>
      </c>
      <c r="F251" s="4">
        <v>0.74</v>
      </c>
      <c r="G251" s="4">
        <v>0.755</v>
      </c>
    </row>
    <row r="252" spans="1:11" x14ac:dyDescent="0.35">
      <c r="A252">
        <v>16.5</v>
      </c>
      <c r="B252">
        <v>5</v>
      </c>
      <c r="E252" s="4">
        <v>0.745</v>
      </c>
      <c r="F252" s="4">
        <v>0.74299999999999999</v>
      </c>
      <c r="G252" s="4">
        <v>0.751</v>
      </c>
    </row>
    <row r="253" spans="1:11" x14ac:dyDescent="0.35">
      <c r="A253">
        <v>16</v>
      </c>
      <c r="B253">
        <v>5</v>
      </c>
      <c r="E253" s="4">
        <v>0.60299999999999998</v>
      </c>
      <c r="F253" s="4">
        <v>0.59299999999999997</v>
      </c>
      <c r="G253" s="4">
        <v>0.60599999999999998</v>
      </c>
    </row>
    <row r="254" spans="1:11" x14ac:dyDescent="0.35">
      <c r="A254">
        <v>15.5</v>
      </c>
      <c r="B254">
        <v>5</v>
      </c>
      <c r="E254" s="4">
        <v>0.47099999999999997</v>
      </c>
      <c r="F254" s="4">
        <v>0.46400000000000002</v>
      </c>
      <c r="G254" s="4">
        <v>0.47699999999999998</v>
      </c>
    </row>
    <row r="255" spans="1:11" x14ac:dyDescent="0.35">
      <c r="A255">
        <v>15</v>
      </c>
      <c r="B255">
        <v>5</v>
      </c>
      <c r="E255" s="4">
        <v>0.36399999999999999</v>
      </c>
      <c r="F255" s="4">
        <v>0.34699999999999998</v>
      </c>
      <c r="G255" s="4">
        <v>0.375</v>
      </c>
    </row>
    <row r="256" spans="1:11" x14ac:dyDescent="0.35">
      <c r="A256">
        <v>14.5</v>
      </c>
      <c r="B256">
        <v>5</v>
      </c>
      <c r="E256" s="4">
        <v>0.14799999999999999</v>
      </c>
      <c r="F256" s="4">
        <v>0.13900000000000001</v>
      </c>
      <c r="G256" s="4">
        <v>0.157</v>
      </c>
    </row>
    <row r="257" spans="1:7" x14ac:dyDescent="0.35">
      <c r="A257">
        <v>14</v>
      </c>
      <c r="B257">
        <v>5</v>
      </c>
      <c r="E257" s="4">
        <v>2.5999999999999999E-2</v>
      </c>
      <c r="F257" s="4">
        <v>2.5999999999999999E-2</v>
      </c>
      <c r="G257" s="4">
        <v>2.8000000000000001E-2</v>
      </c>
    </row>
    <row r="258" spans="1:7" x14ac:dyDescent="0.35">
      <c r="A258">
        <v>13.5</v>
      </c>
      <c r="B258">
        <v>5</v>
      </c>
      <c r="E258" s="4">
        <v>6.8000000000000005E-2</v>
      </c>
      <c r="F258" s="4">
        <v>5.8999999999999997E-2</v>
      </c>
      <c r="G258" s="4">
        <v>0.78</v>
      </c>
    </row>
    <row r="259" spans="1:7" x14ac:dyDescent="0.35">
      <c r="A259">
        <v>13</v>
      </c>
      <c r="B259">
        <v>5</v>
      </c>
      <c r="E259" s="4">
        <v>0.108</v>
      </c>
      <c r="F259" s="4">
        <v>0.10299999999999999</v>
      </c>
      <c r="G259" s="4">
        <v>0.11700000000000001</v>
      </c>
    </row>
    <row r="260" spans="1:7" x14ac:dyDescent="0.35">
      <c r="A260">
        <v>12.5</v>
      </c>
      <c r="B260">
        <v>5</v>
      </c>
      <c r="E260" s="4">
        <v>0.223</v>
      </c>
      <c r="F260" s="4">
        <v>0.218</v>
      </c>
      <c r="G260" s="4">
        <v>0.22500000000000001</v>
      </c>
    </row>
    <row r="261" spans="1:7" x14ac:dyDescent="0.35">
      <c r="A261">
        <v>12</v>
      </c>
      <c r="B261">
        <v>5</v>
      </c>
      <c r="E261" s="4">
        <v>0.27400000000000002</v>
      </c>
      <c r="F261" s="4">
        <v>0.26700000000000002</v>
      </c>
      <c r="G261" s="4">
        <v>0.27800000000000002</v>
      </c>
    </row>
    <row r="262" spans="1:7" x14ac:dyDescent="0.35">
      <c r="A262">
        <v>11.5</v>
      </c>
      <c r="B262">
        <v>5</v>
      </c>
      <c r="E262" s="4">
        <v>0.38100000000000001</v>
      </c>
      <c r="F262" s="4">
        <v>0.378</v>
      </c>
      <c r="G262" s="4">
        <v>0.38700000000000001</v>
      </c>
    </row>
    <row r="263" spans="1:7" x14ac:dyDescent="0.35">
      <c r="A263">
        <v>11</v>
      </c>
      <c r="B263">
        <v>5</v>
      </c>
      <c r="E263" s="4">
        <v>0.44900000000000001</v>
      </c>
      <c r="F263" s="4">
        <v>0.44700000000000001</v>
      </c>
      <c r="G263" s="4">
        <v>0.45400000000000001</v>
      </c>
    </row>
    <row r="264" spans="1:7" x14ac:dyDescent="0.35">
      <c r="A264">
        <v>10.5</v>
      </c>
      <c r="B264">
        <v>5</v>
      </c>
      <c r="E264" s="4">
        <v>0.47199999999999998</v>
      </c>
      <c r="F264" s="4">
        <v>0.46500000000000002</v>
      </c>
      <c r="G264" s="4">
        <v>0.47599999999999998</v>
      </c>
    </row>
    <row r="265" spans="1:7" x14ac:dyDescent="0.35">
      <c r="A265">
        <v>10</v>
      </c>
      <c r="B265">
        <v>5</v>
      </c>
      <c r="E265" s="4">
        <v>0.47399999999999998</v>
      </c>
      <c r="F265" s="4">
        <v>0.46899999999999997</v>
      </c>
      <c r="G265" s="4">
        <v>0.47599999999999998</v>
      </c>
    </row>
    <row r="266" spans="1:7" x14ac:dyDescent="0.35">
      <c r="A266">
        <v>9.5</v>
      </c>
      <c r="B266">
        <v>5</v>
      </c>
      <c r="E266" s="4">
        <v>0.42399999999999999</v>
      </c>
      <c r="F266" s="4">
        <v>0.42399999999999999</v>
      </c>
      <c r="G266" s="4">
        <v>0.42899999999999999</v>
      </c>
    </row>
    <row r="267" spans="1:7" x14ac:dyDescent="0.35">
      <c r="A267">
        <v>9</v>
      </c>
      <c r="B267">
        <v>5</v>
      </c>
      <c r="E267" s="4">
        <v>0.39500000000000002</v>
      </c>
      <c r="F267" s="4">
        <v>0.39300000000000002</v>
      </c>
      <c r="G267" s="4">
        <v>0.39600000000000002</v>
      </c>
    </row>
    <row r="268" spans="1:7" x14ac:dyDescent="0.35">
      <c r="A268">
        <v>8.5</v>
      </c>
      <c r="B268">
        <v>5</v>
      </c>
      <c r="E268" s="4">
        <v>0.32900000000000001</v>
      </c>
      <c r="F268" s="4">
        <v>0.32800000000000001</v>
      </c>
      <c r="G268" s="4">
        <v>0.33</v>
      </c>
    </row>
    <row r="269" spans="1:7" x14ac:dyDescent="0.35">
      <c r="A269">
        <v>8</v>
      </c>
      <c r="B269">
        <v>5</v>
      </c>
    </row>
    <row r="270" spans="1:7" x14ac:dyDescent="0.35">
      <c r="A270">
        <v>7.5</v>
      </c>
      <c r="B270">
        <v>5</v>
      </c>
    </row>
    <row r="271" spans="1:7" x14ac:dyDescent="0.35">
      <c r="A271">
        <v>7</v>
      </c>
      <c r="B271">
        <v>5</v>
      </c>
    </row>
    <row r="272" spans="1:7" x14ac:dyDescent="0.35">
      <c r="A272">
        <v>6.5</v>
      </c>
      <c r="B272">
        <v>5</v>
      </c>
    </row>
    <row r="273" spans="1:7" x14ac:dyDescent="0.35">
      <c r="A273">
        <v>6</v>
      </c>
      <c r="B273">
        <v>5</v>
      </c>
    </row>
    <row r="274" spans="1:7" x14ac:dyDescent="0.35">
      <c r="A274">
        <v>5.5</v>
      </c>
      <c r="B274">
        <v>5</v>
      </c>
    </row>
    <row r="275" spans="1:7" x14ac:dyDescent="0.35">
      <c r="A275">
        <v>5</v>
      </c>
      <c r="B275">
        <v>5</v>
      </c>
    </row>
    <row r="276" spans="1:7" x14ac:dyDescent="0.35">
      <c r="A276">
        <v>4.5</v>
      </c>
      <c r="B276">
        <v>5</v>
      </c>
    </row>
    <row r="277" spans="1:7" x14ac:dyDescent="0.35">
      <c r="A277">
        <v>4</v>
      </c>
      <c r="B277">
        <v>5</v>
      </c>
    </row>
    <row r="278" spans="1:7" x14ac:dyDescent="0.35">
      <c r="A278">
        <v>3.5</v>
      </c>
      <c r="B278">
        <v>5</v>
      </c>
    </row>
    <row r="279" spans="1:7" x14ac:dyDescent="0.35">
      <c r="A279">
        <v>3</v>
      </c>
      <c r="B279">
        <v>5</v>
      </c>
    </row>
    <row r="280" spans="1:7" x14ac:dyDescent="0.35">
      <c r="A280" s="3" t="s">
        <v>48</v>
      </c>
      <c r="B280" s="2"/>
      <c r="C280" s="2"/>
      <c r="D280" s="2"/>
      <c r="E280" s="2"/>
      <c r="F280" s="2"/>
      <c r="G280" s="2"/>
    </row>
    <row r="281" spans="1:7" x14ac:dyDescent="0.35">
      <c r="A281">
        <v>6</v>
      </c>
      <c r="B281">
        <v>5</v>
      </c>
      <c r="D281">
        <v>0.01</v>
      </c>
      <c r="E281">
        <v>8.9999999999999993E-3</v>
      </c>
      <c r="F281">
        <v>1.2999999999999999E-2</v>
      </c>
    </row>
    <row r="282" spans="1:7" x14ac:dyDescent="0.35">
      <c r="A282">
        <v>6.5</v>
      </c>
      <c r="B282">
        <v>5</v>
      </c>
      <c r="D282">
        <v>0.151</v>
      </c>
      <c r="E282">
        <v>0.14099999999999999</v>
      </c>
      <c r="F282">
        <v>0.16200000000000001</v>
      </c>
    </row>
    <row r="283" spans="1:7" x14ac:dyDescent="0.35">
      <c r="A283">
        <v>7</v>
      </c>
      <c r="B283">
        <v>5</v>
      </c>
      <c r="D283">
        <v>0.317</v>
      </c>
      <c r="E283">
        <v>0.31</v>
      </c>
      <c r="F283">
        <v>0.32300000000000001</v>
      </c>
    </row>
    <row r="284" spans="1:7" x14ac:dyDescent="0.35">
      <c r="A284">
        <v>7.5</v>
      </c>
      <c r="B284">
        <v>5</v>
      </c>
      <c r="D284">
        <v>0.48599999999999999</v>
      </c>
      <c r="E284">
        <v>0.47399999999999998</v>
      </c>
      <c r="F284">
        <v>0.49299999999999999</v>
      </c>
    </row>
    <row r="285" spans="1:7" x14ac:dyDescent="0.35">
      <c r="A285">
        <v>8</v>
      </c>
      <c r="B285">
        <v>5</v>
      </c>
      <c r="D285">
        <v>0.64100000000000001</v>
      </c>
      <c r="E285">
        <v>0.63300000000000001</v>
      </c>
      <c r="F285">
        <v>0.64900000000000002</v>
      </c>
    </row>
    <row r="286" spans="1:7" x14ac:dyDescent="0.35">
      <c r="A286">
        <v>8.5</v>
      </c>
      <c r="B286">
        <v>5</v>
      </c>
      <c r="D286">
        <v>0.755</v>
      </c>
      <c r="E286">
        <v>0.75</v>
      </c>
      <c r="F286">
        <v>0.748</v>
      </c>
    </row>
    <row r="287" spans="1:7" x14ac:dyDescent="0.35">
      <c r="A287">
        <v>9</v>
      </c>
      <c r="B287">
        <v>5</v>
      </c>
      <c r="D287">
        <v>0.77</v>
      </c>
      <c r="E287">
        <v>0.76300000000000001</v>
      </c>
      <c r="F287">
        <v>0.77300000000000002</v>
      </c>
    </row>
    <row r="288" spans="1:7" x14ac:dyDescent="0.35">
      <c r="A288">
        <v>9.5</v>
      </c>
      <c r="B288">
        <v>5</v>
      </c>
      <c r="D288">
        <v>0.67600000000000005</v>
      </c>
      <c r="E288">
        <v>0.67</v>
      </c>
      <c r="F288">
        <v>0.68700000000000006</v>
      </c>
    </row>
    <row r="289" spans="1:6" x14ac:dyDescent="0.35">
      <c r="A289">
        <v>10</v>
      </c>
      <c r="B289">
        <v>5</v>
      </c>
      <c r="D289">
        <v>0.53500000000000003</v>
      </c>
      <c r="E289">
        <v>0.52700000000000002</v>
      </c>
      <c r="F289">
        <v>0.54400000000000004</v>
      </c>
    </row>
    <row r="290" spans="1:6" x14ac:dyDescent="0.35">
      <c r="A290">
        <v>10.5</v>
      </c>
      <c r="B290">
        <v>5</v>
      </c>
      <c r="D290">
        <v>0.39300000000000002</v>
      </c>
      <c r="E290">
        <v>0.38600000000000001</v>
      </c>
      <c r="F290">
        <v>0.40400000000000003</v>
      </c>
    </row>
    <row r="291" spans="1:6" x14ac:dyDescent="0.35">
      <c r="A291">
        <v>11</v>
      </c>
      <c r="B291">
        <v>5</v>
      </c>
      <c r="D291">
        <v>0.22900000000000001</v>
      </c>
      <c r="E291">
        <v>0.221</v>
      </c>
      <c r="F291">
        <v>0.24</v>
      </c>
    </row>
    <row r="292" spans="1:6" x14ac:dyDescent="0.35">
      <c r="A292">
        <v>11.5</v>
      </c>
      <c r="B292">
        <v>5</v>
      </c>
      <c r="D292">
        <v>0.11600000000000001</v>
      </c>
      <c r="E292">
        <v>0.113</v>
      </c>
      <c r="F292">
        <v>0.121</v>
      </c>
    </row>
    <row r="293" spans="1:6" x14ac:dyDescent="0.35">
      <c r="A293">
        <v>12</v>
      </c>
      <c r="B293">
        <v>5</v>
      </c>
      <c r="D293">
        <v>5.6000000000000001E-2</v>
      </c>
      <c r="E293">
        <v>5.5E-2</v>
      </c>
      <c r="F293">
        <v>5.8000000000000003E-2</v>
      </c>
    </row>
    <row r="294" spans="1:6" x14ac:dyDescent="0.35">
      <c r="A294">
        <v>12.5</v>
      </c>
      <c r="B294">
        <v>5</v>
      </c>
      <c r="D294">
        <v>3.2000000000000001E-2</v>
      </c>
      <c r="E294">
        <v>3.1E-2</v>
      </c>
      <c r="F294">
        <v>3.4000000000000002E-2</v>
      </c>
    </row>
    <row r="295" spans="1:6" x14ac:dyDescent="0.35">
      <c r="A295">
        <v>13</v>
      </c>
      <c r="B295">
        <v>5</v>
      </c>
      <c r="D295">
        <v>1.4E-2</v>
      </c>
      <c r="E295">
        <v>1.4E-2</v>
      </c>
      <c r="F295">
        <v>1.4999999999999999E-2</v>
      </c>
    </row>
    <row r="296" spans="1:6" x14ac:dyDescent="0.35">
      <c r="A296">
        <v>13.5</v>
      </c>
      <c r="B296">
        <v>5</v>
      </c>
      <c r="D296">
        <v>7.0000000000000001E-3</v>
      </c>
      <c r="E296">
        <v>7.0000000000000001E-3</v>
      </c>
      <c r="F296">
        <v>8.0000000000000002E-3</v>
      </c>
    </row>
    <row r="297" spans="1:6" x14ac:dyDescent="0.35">
      <c r="A297">
        <v>14</v>
      </c>
      <c r="B297">
        <v>5</v>
      </c>
      <c r="D297">
        <v>5.0000000000000001E-3</v>
      </c>
    </row>
    <row r="298" spans="1:6" x14ac:dyDescent="0.35">
      <c r="A298">
        <v>14.5</v>
      </c>
      <c r="B298">
        <v>5</v>
      </c>
      <c r="D298">
        <v>4.0000000000000001E-3</v>
      </c>
    </row>
    <row r="299" spans="1:6" x14ac:dyDescent="0.35">
      <c r="A299">
        <v>15</v>
      </c>
      <c r="B299">
        <v>5</v>
      </c>
      <c r="D299">
        <v>5.0000000000000001E-3</v>
      </c>
    </row>
    <row r="300" spans="1:6" x14ac:dyDescent="0.35">
      <c r="A300">
        <v>15.5</v>
      </c>
      <c r="B300">
        <v>5</v>
      </c>
      <c r="D300">
        <v>6.0000000000000001E-3</v>
      </c>
    </row>
    <row r="301" spans="1:6" x14ac:dyDescent="0.35">
      <c r="A301">
        <v>16</v>
      </c>
      <c r="B301">
        <v>5</v>
      </c>
      <c r="D301">
        <v>6.0000000000000001E-3</v>
      </c>
    </row>
    <row r="302" spans="1:6" x14ac:dyDescent="0.35">
      <c r="A302">
        <v>15.5</v>
      </c>
      <c r="B302">
        <v>5</v>
      </c>
      <c r="D302">
        <v>5.0000000000000001E-3</v>
      </c>
      <c r="E302">
        <v>4.0000000000000001E-3</v>
      </c>
      <c r="F302">
        <v>5.0000000000000001E-3</v>
      </c>
    </row>
    <row r="303" spans="1:6" x14ac:dyDescent="0.35">
      <c r="A303">
        <v>15</v>
      </c>
      <c r="B303">
        <v>5</v>
      </c>
      <c r="D303">
        <v>4.0000000000000001E-3</v>
      </c>
    </row>
    <row r="304" spans="1:6" x14ac:dyDescent="0.35">
      <c r="A304">
        <v>14.5</v>
      </c>
      <c r="B304">
        <v>5</v>
      </c>
      <c r="D304">
        <v>5.0000000000000001E-3</v>
      </c>
    </row>
    <row r="305" spans="1:6" x14ac:dyDescent="0.35">
      <c r="A305">
        <v>14</v>
      </c>
      <c r="B305">
        <v>5</v>
      </c>
      <c r="D305">
        <v>8.9999999999999993E-3</v>
      </c>
    </row>
    <row r="306" spans="1:6" x14ac:dyDescent="0.35">
      <c r="A306">
        <v>13.5</v>
      </c>
      <c r="B306">
        <v>5</v>
      </c>
      <c r="D306">
        <v>1.9E-2</v>
      </c>
      <c r="E306">
        <v>1.9E-2</v>
      </c>
      <c r="F306">
        <v>0.02</v>
      </c>
    </row>
    <row r="307" spans="1:6" x14ac:dyDescent="0.35">
      <c r="A307">
        <v>13</v>
      </c>
      <c r="B307">
        <v>5</v>
      </c>
      <c r="D307">
        <v>3.5000000000000003E-2</v>
      </c>
      <c r="E307">
        <v>3.4000000000000002E-2</v>
      </c>
      <c r="F307">
        <v>3.5000000000000003E-2</v>
      </c>
    </row>
    <row r="308" spans="1:6" x14ac:dyDescent="0.35">
      <c r="A308">
        <v>12.5</v>
      </c>
      <c r="B308">
        <v>5</v>
      </c>
      <c r="D308">
        <v>6.2E-2</v>
      </c>
      <c r="E308">
        <v>6.2E-2</v>
      </c>
      <c r="F308">
        <v>6.3E-2</v>
      </c>
    </row>
    <row r="309" spans="1:6" x14ac:dyDescent="0.35">
      <c r="A309">
        <v>12</v>
      </c>
      <c r="B309">
        <v>5</v>
      </c>
      <c r="D309">
        <v>0.154</v>
      </c>
      <c r="E309">
        <v>0.15</v>
      </c>
      <c r="F309">
        <v>0.159</v>
      </c>
    </row>
    <row r="310" spans="1:6" x14ac:dyDescent="0.35">
      <c r="A310">
        <v>11.5</v>
      </c>
      <c r="B310">
        <v>5</v>
      </c>
      <c r="D310">
        <v>0.27800000000000002</v>
      </c>
      <c r="E310">
        <v>0.26400000000000001</v>
      </c>
      <c r="F310">
        <v>0.28299999999999997</v>
      </c>
    </row>
    <row r="311" spans="1:6" x14ac:dyDescent="0.35">
      <c r="A311">
        <v>11</v>
      </c>
      <c r="B311">
        <v>5</v>
      </c>
      <c r="D311">
        <v>0.38800000000000001</v>
      </c>
      <c r="E311">
        <v>0.377</v>
      </c>
      <c r="F311">
        <v>0.40500000000000003</v>
      </c>
    </row>
    <row r="312" spans="1:6" x14ac:dyDescent="0.35">
      <c r="A312">
        <v>10.5</v>
      </c>
      <c r="B312">
        <v>5</v>
      </c>
      <c r="D312">
        <v>0.42299999999999999</v>
      </c>
      <c r="E312">
        <v>0.40899999999999997</v>
      </c>
      <c r="F312">
        <v>0.43099999999999999</v>
      </c>
    </row>
    <row r="313" spans="1:6" x14ac:dyDescent="0.35">
      <c r="A313">
        <v>10</v>
      </c>
      <c r="B313">
        <v>5</v>
      </c>
      <c r="D313">
        <v>0.67600000000000005</v>
      </c>
      <c r="E313">
        <v>0.66900000000000004</v>
      </c>
      <c r="F313">
        <v>0.68100000000000005</v>
      </c>
    </row>
    <row r="314" spans="1:6" x14ac:dyDescent="0.35">
      <c r="A314">
        <v>9.5</v>
      </c>
      <c r="B314">
        <v>5</v>
      </c>
      <c r="D314">
        <v>0.752</v>
      </c>
      <c r="E314">
        <v>0.74399999999999999</v>
      </c>
      <c r="F314">
        <v>0.76100000000000001</v>
      </c>
    </row>
    <row r="315" spans="1:6" x14ac:dyDescent="0.35">
      <c r="A315">
        <v>9</v>
      </c>
      <c r="B315">
        <v>5</v>
      </c>
      <c r="D315">
        <v>0.77900000000000003</v>
      </c>
      <c r="E315">
        <v>0.77300000000000002</v>
      </c>
      <c r="F315">
        <v>0.79</v>
      </c>
    </row>
    <row r="316" spans="1:6" x14ac:dyDescent="0.35">
      <c r="A316">
        <v>8.5</v>
      </c>
      <c r="B316">
        <v>5</v>
      </c>
      <c r="D316">
        <v>0.68300000000000005</v>
      </c>
      <c r="E316">
        <v>0.67500000000000004</v>
      </c>
      <c r="F316">
        <v>0.68799999999999994</v>
      </c>
    </row>
    <row r="317" spans="1:6" x14ac:dyDescent="0.35">
      <c r="A317">
        <v>8</v>
      </c>
      <c r="B317">
        <v>5</v>
      </c>
      <c r="D317">
        <v>0.56699999999999995</v>
      </c>
      <c r="E317">
        <v>0.55500000000000005</v>
      </c>
      <c r="F317">
        <v>0.57299999999999995</v>
      </c>
    </row>
    <row r="318" spans="1:6" x14ac:dyDescent="0.35">
      <c r="A318">
        <v>7.5</v>
      </c>
      <c r="B318">
        <v>5</v>
      </c>
      <c r="D318">
        <v>0.41199999999999998</v>
      </c>
      <c r="E318">
        <v>0.4</v>
      </c>
      <c r="F318">
        <v>0.42299999999999999</v>
      </c>
    </row>
    <row r="319" spans="1:6" x14ac:dyDescent="0.35">
      <c r="A319">
        <v>7</v>
      </c>
      <c r="B319">
        <v>5</v>
      </c>
      <c r="D319">
        <v>0.25600000000000001</v>
      </c>
      <c r="E319">
        <v>0.24099999999999999</v>
      </c>
      <c r="F319">
        <v>0.26</v>
      </c>
    </row>
    <row r="320" spans="1:6" x14ac:dyDescent="0.35">
      <c r="A320">
        <v>6.5</v>
      </c>
      <c r="B320">
        <v>5</v>
      </c>
      <c r="D320">
        <v>0.08</v>
      </c>
      <c r="E320">
        <v>7.4999999999999997E-2</v>
      </c>
      <c r="F320">
        <v>8.3000000000000004E-2</v>
      </c>
    </row>
    <row r="321" spans="1:6" x14ac:dyDescent="0.35">
      <c r="A321">
        <v>6</v>
      </c>
      <c r="B321">
        <v>5</v>
      </c>
      <c r="D321">
        <v>1.6E-2</v>
      </c>
      <c r="E321">
        <v>1.0999999999999999E-2</v>
      </c>
      <c r="F321">
        <v>1.7999999999999999E-2</v>
      </c>
    </row>
    <row r="322" spans="1:6" x14ac:dyDescent="0.35">
      <c r="A322">
        <v>5.5</v>
      </c>
      <c r="B322">
        <v>5</v>
      </c>
      <c r="D322">
        <v>3.5000000000000003E-2</v>
      </c>
      <c r="E322">
        <v>3.4000000000000002E-2</v>
      </c>
      <c r="F322">
        <v>3.5999999999999997E-2</v>
      </c>
    </row>
    <row r="323" spans="1:6" x14ac:dyDescent="0.35">
      <c r="A323">
        <v>5</v>
      </c>
      <c r="B323">
        <v>5</v>
      </c>
      <c r="D323">
        <v>9.6000000000000002E-2</v>
      </c>
      <c r="E323">
        <v>9.4E-2</v>
      </c>
      <c r="F323">
        <v>9.9000000000000005E-2</v>
      </c>
    </row>
    <row r="324" spans="1:6" x14ac:dyDescent="0.35">
      <c r="A324">
        <v>4.5</v>
      </c>
      <c r="B324">
        <v>5</v>
      </c>
      <c r="D324">
        <v>0.158</v>
      </c>
      <c r="E324">
        <v>0.155</v>
      </c>
      <c r="F324">
        <v>0.16</v>
      </c>
    </row>
    <row r="325" spans="1:6" x14ac:dyDescent="0.35">
      <c r="A325">
        <v>4</v>
      </c>
      <c r="B325">
        <v>5</v>
      </c>
      <c r="D325">
        <v>0.255</v>
      </c>
      <c r="E325">
        <v>0.25</v>
      </c>
      <c r="F325">
        <v>0.25700000000000001</v>
      </c>
    </row>
    <row r="326" spans="1:6" x14ac:dyDescent="0.35">
      <c r="A326">
        <v>3.5</v>
      </c>
      <c r="B326">
        <v>5</v>
      </c>
      <c r="D326">
        <v>0.312</v>
      </c>
      <c r="E326">
        <v>0.307</v>
      </c>
      <c r="F326">
        <v>0.316</v>
      </c>
    </row>
    <row r="327" spans="1:6" x14ac:dyDescent="0.35">
      <c r="A327">
        <v>3</v>
      </c>
      <c r="B327">
        <v>5</v>
      </c>
      <c r="D327">
        <v>0.36399999999999999</v>
      </c>
      <c r="E327">
        <v>0.36099999999999999</v>
      </c>
      <c r="F327">
        <v>0.36799999999999999</v>
      </c>
    </row>
    <row r="328" spans="1:6" x14ac:dyDescent="0.35">
      <c r="A328">
        <v>2.5</v>
      </c>
      <c r="B328">
        <v>5</v>
      </c>
      <c r="D328">
        <v>0.40500000000000003</v>
      </c>
      <c r="E328">
        <v>0.40400000000000003</v>
      </c>
      <c r="F328">
        <v>0.40899999999999997</v>
      </c>
    </row>
    <row r="329" spans="1:6" x14ac:dyDescent="0.35">
      <c r="A329">
        <v>2</v>
      </c>
      <c r="B329">
        <v>5</v>
      </c>
      <c r="D329">
        <v>0.373</v>
      </c>
      <c r="E329">
        <v>0.371</v>
      </c>
      <c r="F329">
        <v>0.374</v>
      </c>
    </row>
    <row r="330" spans="1:6" x14ac:dyDescent="0.35">
      <c r="A330">
        <v>1.5</v>
      </c>
      <c r="B330">
        <v>5</v>
      </c>
      <c r="D330">
        <v>0.34300000000000003</v>
      </c>
      <c r="E330">
        <v>0.34200000000000003</v>
      </c>
      <c r="F330">
        <v>0.34300000000000003</v>
      </c>
    </row>
    <row r="331" spans="1:6" x14ac:dyDescent="0.35">
      <c r="A331">
        <v>1</v>
      </c>
      <c r="B331">
        <v>5</v>
      </c>
      <c r="D331">
        <v>0.28799999999999998</v>
      </c>
      <c r="E331">
        <v>0.28599999999999998</v>
      </c>
      <c r="F331">
        <v>0.28899999999999998</v>
      </c>
    </row>
    <row r="332" spans="1:6" x14ac:dyDescent="0.35">
      <c r="A332">
        <v>0.5</v>
      </c>
      <c r="B332">
        <v>5</v>
      </c>
      <c r="D332">
        <v>0.24299999999999999</v>
      </c>
      <c r="E332">
        <v>0.24299999999999999</v>
      </c>
      <c r="F332">
        <v>0.245</v>
      </c>
    </row>
    <row r="333" spans="1:6" x14ac:dyDescent="0.35">
      <c r="A333">
        <v>0</v>
      </c>
      <c r="B333">
        <v>5</v>
      </c>
      <c r="D333">
        <v>0.2</v>
      </c>
      <c r="E333">
        <v>0.19800000000000001</v>
      </c>
      <c r="F333">
        <v>0.20100000000000001</v>
      </c>
    </row>
    <row r="334" spans="1:6" x14ac:dyDescent="0.35">
      <c r="A334">
        <v>-0.5</v>
      </c>
      <c r="B334">
        <v>5</v>
      </c>
      <c r="D334">
        <v>0.14099999999999999</v>
      </c>
      <c r="E334">
        <v>0.14000000000000001</v>
      </c>
      <c r="F334">
        <v>0.14299999999999999</v>
      </c>
    </row>
    <row r="335" spans="1:6" x14ac:dyDescent="0.35">
      <c r="A335">
        <v>-1</v>
      </c>
      <c r="B335">
        <v>5</v>
      </c>
      <c r="D335">
        <v>0.114</v>
      </c>
      <c r="E335">
        <v>0.113</v>
      </c>
      <c r="F335">
        <v>0.115</v>
      </c>
    </row>
    <row r="336" spans="1:6" x14ac:dyDescent="0.35">
      <c r="A336">
        <v>-1.5</v>
      </c>
      <c r="B336">
        <v>5</v>
      </c>
      <c r="D336">
        <v>6.9000000000000006E-2</v>
      </c>
      <c r="E336">
        <v>6.9000000000000006E-2</v>
      </c>
      <c r="F336">
        <v>7.0000000000000007E-2</v>
      </c>
    </row>
    <row r="337" spans="1:6" x14ac:dyDescent="0.35">
      <c r="A337">
        <v>-2</v>
      </c>
      <c r="B337">
        <v>5</v>
      </c>
      <c r="D337">
        <v>4.2999999999999997E-2</v>
      </c>
      <c r="E337">
        <v>4.2999999999999997E-2</v>
      </c>
      <c r="F337">
        <v>4.3999999999999997E-2</v>
      </c>
    </row>
    <row r="338" spans="1:6" x14ac:dyDescent="0.35">
      <c r="A338">
        <v>-2.5</v>
      </c>
      <c r="B338">
        <v>5</v>
      </c>
      <c r="D338">
        <v>2.1000000000000001E-2</v>
      </c>
    </row>
    <row r="339" spans="1:6" x14ac:dyDescent="0.35">
      <c r="A339">
        <v>-3</v>
      </c>
      <c r="B339">
        <v>5</v>
      </c>
      <c r="D339">
        <v>1.2999999999999999E-2</v>
      </c>
    </row>
    <row r="340" spans="1:6" x14ac:dyDescent="0.35">
      <c r="A340">
        <v>-3.5</v>
      </c>
      <c r="B340">
        <v>5</v>
      </c>
      <c r="D340">
        <v>6.0000000000000001E-3</v>
      </c>
    </row>
    <row r="341" spans="1:6" x14ac:dyDescent="0.35">
      <c r="A341">
        <v>-4</v>
      </c>
      <c r="B341">
        <v>5</v>
      </c>
      <c r="D341">
        <v>3.0000000000000001E-3</v>
      </c>
    </row>
    <row r="342" spans="1:6" x14ac:dyDescent="0.35">
      <c r="A342">
        <v>-4.5</v>
      </c>
      <c r="B342">
        <v>5</v>
      </c>
      <c r="D342">
        <v>1E-3</v>
      </c>
    </row>
    <row r="343" spans="1:6" x14ac:dyDescent="0.35">
      <c r="A343">
        <v>-5</v>
      </c>
      <c r="B343">
        <v>5</v>
      </c>
      <c r="D343">
        <v>1E-3</v>
      </c>
    </row>
    <row r="344" spans="1:6" x14ac:dyDescent="0.35">
      <c r="A344">
        <v>-4.5</v>
      </c>
      <c r="B344">
        <v>5</v>
      </c>
      <c r="D344">
        <v>4.0000000000000001E-3</v>
      </c>
    </row>
    <row r="345" spans="1:6" x14ac:dyDescent="0.35">
      <c r="A345">
        <v>-4</v>
      </c>
      <c r="B345">
        <v>5</v>
      </c>
      <c r="D345">
        <v>8.9999999999999993E-3</v>
      </c>
    </row>
    <row r="346" spans="1:6" x14ac:dyDescent="0.35">
      <c r="A346">
        <v>-3.5</v>
      </c>
      <c r="B346">
        <v>5</v>
      </c>
      <c r="D346">
        <v>1.4999999999999999E-2</v>
      </c>
      <c r="E346">
        <v>1.4999999999999999E-2</v>
      </c>
      <c r="F346">
        <v>1.6E-2</v>
      </c>
    </row>
    <row r="347" spans="1:6" x14ac:dyDescent="0.35">
      <c r="A347">
        <v>-3</v>
      </c>
      <c r="B347">
        <v>5</v>
      </c>
      <c r="D347">
        <v>2.5000000000000001E-2</v>
      </c>
    </row>
    <row r="348" spans="1:6" x14ac:dyDescent="0.35">
      <c r="A348">
        <v>-2.5</v>
      </c>
      <c r="B348">
        <v>5</v>
      </c>
      <c r="D348">
        <v>5.0999999999999997E-2</v>
      </c>
    </row>
    <row r="349" spans="1:6" x14ac:dyDescent="0.35">
      <c r="A349">
        <v>-2</v>
      </c>
      <c r="B349">
        <v>5</v>
      </c>
      <c r="D349">
        <v>7.0999999999999994E-2</v>
      </c>
      <c r="E349">
        <v>7.0999999999999994E-2</v>
      </c>
      <c r="F349">
        <v>7.1999999999999995E-2</v>
      </c>
    </row>
    <row r="350" spans="1:6" x14ac:dyDescent="0.35">
      <c r="A350">
        <v>-1.5</v>
      </c>
      <c r="B350">
        <v>5</v>
      </c>
      <c r="D350">
        <v>0.106</v>
      </c>
      <c r="E350">
        <v>0.107</v>
      </c>
    </row>
    <row r="351" spans="1:6" x14ac:dyDescent="0.35">
      <c r="A351">
        <v>-1</v>
      </c>
      <c r="B351">
        <v>5</v>
      </c>
      <c r="D351">
        <v>0.14499999999999999</v>
      </c>
      <c r="E351">
        <v>0.14399999999999999</v>
      </c>
      <c r="F351">
        <v>0.14599999999999999</v>
      </c>
    </row>
    <row r="352" spans="1:6" x14ac:dyDescent="0.35">
      <c r="A352">
        <v>-0.5</v>
      </c>
      <c r="B352">
        <v>5</v>
      </c>
      <c r="D352">
        <v>0.19600000000000001</v>
      </c>
      <c r="E352">
        <v>0.19600000000000001</v>
      </c>
      <c r="F352">
        <v>0.19800000000000001</v>
      </c>
    </row>
    <row r="353" spans="1:6" x14ac:dyDescent="0.35">
      <c r="A353">
        <v>0</v>
      </c>
      <c r="B353">
        <v>5</v>
      </c>
      <c r="D353">
        <v>0.246</v>
      </c>
      <c r="E353">
        <v>0.245</v>
      </c>
      <c r="F353">
        <v>0.249</v>
      </c>
    </row>
    <row r="354" spans="1:6" x14ac:dyDescent="0.35">
      <c r="A354">
        <v>0.5</v>
      </c>
      <c r="B354">
        <v>5</v>
      </c>
      <c r="D354">
        <v>0.29599999999999999</v>
      </c>
      <c r="E354">
        <v>0.29299999999999998</v>
      </c>
      <c r="F354">
        <v>0.29799999999999999</v>
      </c>
    </row>
    <row r="355" spans="1:6" x14ac:dyDescent="0.35">
      <c r="A355">
        <v>1</v>
      </c>
      <c r="B355">
        <v>5</v>
      </c>
      <c r="D355">
        <v>0.32900000000000001</v>
      </c>
      <c r="E355">
        <v>0.32800000000000001</v>
      </c>
      <c r="F355">
        <v>0.33100000000000002</v>
      </c>
    </row>
    <row r="356" spans="1:6" x14ac:dyDescent="0.35">
      <c r="A356">
        <v>1.5</v>
      </c>
      <c r="B356">
        <v>5</v>
      </c>
      <c r="D356">
        <v>0.36599999999999999</v>
      </c>
      <c r="E356">
        <v>0.36299999999999999</v>
      </c>
      <c r="F356">
        <v>0.36799999999999999</v>
      </c>
    </row>
    <row r="357" spans="1:6" x14ac:dyDescent="0.35">
      <c r="A357">
        <v>2</v>
      </c>
      <c r="B357">
        <v>5</v>
      </c>
      <c r="D357">
        <v>0.371</v>
      </c>
      <c r="E357">
        <v>0.37</v>
      </c>
      <c r="F357">
        <v>0.372</v>
      </c>
    </row>
    <row r="358" spans="1:6" x14ac:dyDescent="0.35">
      <c r="A358">
        <v>2.5</v>
      </c>
      <c r="B358">
        <v>5</v>
      </c>
      <c r="D358">
        <v>0.34399999999999997</v>
      </c>
      <c r="E358">
        <v>0.34200000000000003</v>
      </c>
      <c r="F358">
        <v>0.34799999999999998</v>
      </c>
    </row>
    <row r="359" spans="1:6" x14ac:dyDescent="0.35">
      <c r="A359">
        <v>3</v>
      </c>
      <c r="B359">
        <v>5</v>
      </c>
      <c r="D359">
        <v>0.28299999999999997</v>
      </c>
      <c r="E359">
        <v>0.28100000000000003</v>
      </c>
      <c r="F359">
        <v>0.28499999999999998</v>
      </c>
    </row>
    <row r="360" spans="1:6" x14ac:dyDescent="0.35">
      <c r="A360">
        <v>3.5</v>
      </c>
      <c r="B360">
        <v>5</v>
      </c>
      <c r="D360">
        <v>0.20899999999999999</v>
      </c>
      <c r="E360">
        <v>0.20599999999999999</v>
      </c>
      <c r="F360">
        <v>0.21099999999999999</v>
      </c>
    </row>
    <row r="361" spans="1:6" x14ac:dyDescent="0.35">
      <c r="A361">
        <v>4</v>
      </c>
      <c r="B361">
        <v>5</v>
      </c>
      <c r="D361">
        <v>0.14299999999999999</v>
      </c>
      <c r="E361">
        <v>0.14099999999999999</v>
      </c>
      <c r="F361">
        <v>0.14599999999999999</v>
      </c>
    </row>
    <row r="362" spans="1:6" x14ac:dyDescent="0.35">
      <c r="A362">
        <v>4.5</v>
      </c>
      <c r="B362">
        <v>5</v>
      </c>
      <c r="D362">
        <v>8.1000000000000003E-2</v>
      </c>
      <c r="E362">
        <v>7.8E-2</v>
      </c>
      <c r="F362">
        <v>8.2000000000000003E-2</v>
      </c>
    </row>
    <row r="363" spans="1:6" x14ac:dyDescent="0.35">
      <c r="A363">
        <v>5</v>
      </c>
      <c r="B363">
        <v>5</v>
      </c>
      <c r="D363">
        <v>5.1999999999999998E-2</v>
      </c>
      <c r="E363">
        <v>0.05</v>
      </c>
      <c r="F363">
        <v>5.6000000000000001E-2</v>
      </c>
    </row>
    <row r="364" spans="1:6" x14ac:dyDescent="0.35">
      <c r="A364">
        <v>5.5</v>
      </c>
      <c r="B364">
        <v>5</v>
      </c>
      <c r="D364">
        <v>2.3E-2</v>
      </c>
      <c r="E364">
        <v>0.02</v>
      </c>
      <c r="F364">
        <v>2.4E-2</v>
      </c>
    </row>
    <row r="365" spans="1:6" x14ac:dyDescent="0.35">
      <c r="A365">
        <v>6</v>
      </c>
      <c r="B365">
        <v>5</v>
      </c>
      <c r="D365">
        <v>0.14799999999999999</v>
      </c>
      <c r="E365">
        <v>0.14499999999999999</v>
      </c>
      <c r="F365">
        <v>0.154</v>
      </c>
    </row>
    <row r="366" spans="1:6" x14ac:dyDescent="0.35">
      <c r="A366">
        <v>6.5</v>
      </c>
      <c r="B366">
        <v>5</v>
      </c>
      <c r="D366">
        <v>0.24</v>
      </c>
      <c r="E366">
        <v>0.23200000000000001</v>
      </c>
      <c r="F366">
        <v>0.24299999999999999</v>
      </c>
    </row>
    <row r="367" spans="1:6" x14ac:dyDescent="0.35">
      <c r="A367">
        <v>7</v>
      </c>
      <c r="B367">
        <v>5</v>
      </c>
      <c r="D367">
        <v>0.35899999999999999</v>
      </c>
      <c r="E367">
        <v>0.35399999999999998</v>
      </c>
      <c r="F367">
        <v>0.36399999999999999</v>
      </c>
    </row>
    <row r="368" spans="1:6" x14ac:dyDescent="0.35">
      <c r="A368">
        <v>7.5</v>
      </c>
      <c r="B368">
        <v>5</v>
      </c>
      <c r="D368">
        <v>0.502</v>
      </c>
      <c r="E368">
        <v>0.499</v>
      </c>
      <c r="F368">
        <v>0.51100000000000001</v>
      </c>
    </row>
    <row r="369" spans="1:6" x14ac:dyDescent="0.35">
      <c r="A369">
        <v>8</v>
      </c>
      <c r="B369">
        <v>5</v>
      </c>
      <c r="D369">
        <v>0.64400000000000002</v>
      </c>
      <c r="E369">
        <v>0.64100000000000001</v>
      </c>
      <c r="F369">
        <v>0.64900000000000002</v>
      </c>
    </row>
    <row r="370" spans="1:6" x14ac:dyDescent="0.35">
      <c r="A370">
        <v>8.5</v>
      </c>
      <c r="B370">
        <v>5</v>
      </c>
      <c r="D370">
        <v>0.67600000000000005</v>
      </c>
      <c r="E370">
        <v>0.67400000000000004</v>
      </c>
      <c r="F370">
        <v>0.67900000000000005</v>
      </c>
    </row>
    <row r="371" spans="1:6" x14ac:dyDescent="0.35">
      <c r="A371">
        <v>9</v>
      </c>
      <c r="B371">
        <v>5</v>
      </c>
      <c r="D371">
        <v>0.622</v>
      </c>
      <c r="E371">
        <v>0.61599999999999999</v>
      </c>
      <c r="F371">
        <v>0.626</v>
      </c>
    </row>
    <row r="372" spans="1:6" x14ac:dyDescent="0.35">
      <c r="A372">
        <v>9.5</v>
      </c>
      <c r="B372">
        <v>5</v>
      </c>
      <c r="D372">
        <v>0.56299999999999994</v>
      </c>
      <c r="E372">
        <v>0.55700000000000005</v>
      </c>
      <c r="F372">
        <v>0.56599999999999995</v>
      </c>
    </row>
    <row r="373" spans="1:6" x14ac:dyDescent="0.35">
      <c r="A373">
        <v>10</v>
      </c>
      <c r="B373">
        <v>5</v>
      </c>
      <c r="D373">
        <v>0.4</v>
      </c>
      <c r="E373">
        <v>0.39400000000000002</v>
      </c>
      <c r="F373">
        <v>0.40300000000000002</v>
      </c>
    </row>
    <row r="374" spans="1:6" x14ac:dyDescent="0.35">
      <c r="A374">
        <v>10.5</v>
      </c>
      <c r="B374">
        <v>5</v>
      </c>
      <c r="D374">
        <v>0.222</v>
      </c>
      <c r="E374">
        <v>0.22</v>
      </c>
      <c r="F374">
        <v>0.22800000000000001</v>
      </c>
    </row>
    <row r="375" spans="1:6" x14ac:dyDescent="0.35">
      <c r="A375">
        <v>11</v>
      </c>
      <c r="B375">
        <v>5</v>
      </c>
      <c r="D375">
        <v>0.14599999999999999</v>
      </c>
      <c r="E375">
        <v>0.14299999999999999</v>
      </c>
      <c r="F375">
        <v>0.15</v>
      </c>
    </row>
    <row r="376" spans="1:6" x14ac:dyDescent="0.35">
      <c r="A376">
        <v>11.5</v>
      </c>
      <c r="B376">
        <v>5</v>
      </c>
      <c r="D376">
        <v>7.3999999999999996E-2</v>
      </c>
      <c r="E376">
        <v>7.3999999999999996E-2</v>
      </c>
      <c r="F376">
        <v>7.6999999999999999E-2</v>
      </c>
    </row>
    <row r="377" spans="1:6" x14ac:dyDescent="0.35">
      <c r="A377">
        <v>12</v>
      </c>
      <c r="B377">
        <v>5</v>
      </c>
      <c r="D377">
        <v>2.9000000000000001E-2</v>
      </c>
      <c r="E377">
        <v>2.8000000000000001E-2</v>
      </c>
      <c r="F377">
        <v>2.9000000000000001E-2</v>
      </c>
    </row>
    <row r="378" spans="1:6" x14ac:dyDescent="0.35">
      <c r="A378">
        <v>12.5</v>
      </c>
      <c r="B378">
        <v>5</v>
      </c>
      <c r="D378">
        <v>1.2999999999999999E-2</v>
      </c>
    </row>
    <row r="379" spans="1:6" x14ac:dyDescent="0.35">
      <c r="A379">
        <v>13</v>
      </c>
      <c r="B379">
        <v>5</v>
      </c>
      <c r="D379">
        <v>7.0000000000000001E-3</v>
      </c>
    </row>
    <row r="380" spans="1:6" x14ac:dyDescent="0.35">
      <c r="A380">
        <v>13.5</v>
      </c>
      <c r="B380">
        <v>5</v>
      </c>
      <c r="D380">
        <v>6.0000000000000001E-3</v>
      </c>
    </row>
    <row r="381" spans="1:6" x14ac:dyDescent="0.35">
      <c r="A381">
        <v>14</v>
      </c>
      <c r="B381">
        <v>5</v>
      </c>
      <c r="D381">
        <v>6.0000000000000001E-3</v>
      </c>
    </row>
    <row r="382" spans="1:6" x14ac:dyDescent="0.35">
      <c r="A382">
        <v>14.5</v>
      </c>
      <c r="B382">
        <v>5</v>
      </c>
      <c r="D382">
        <v>6.0000000000000001E-3</v>
      </c>
    </row>
    <row r="383" spans="1:6" x14ac:dyDescent="0.35">
      <c r="A383">
        <v>15</v>
      </c>
      <c r="B383">
        <v>5</v>
      </c>
      <c r="D383">
        <v>6.0000000000000001E-3</v>
      </c>
    </row>
    <row r="384" spans="1:6" x14ac:dyDescent="0.35">
      <c r="A384">
        <v>15.5</v>
      </c>
      <c r="B384">
        <v>5</v>
      </c>
      <c r="D384">
        <v>5.0000000000000001E-3</v>
      </c>
    </row>
    <row r="385" spans="1:6" x14ac:dyDescent="0.35">
      <c r="A385">
        <v>16</v>
      </c>
      <c r="B385">
        <v>5</v>
      </c>
      <c r="D385">
        <v>4.0000000000000001E-3</v>
      </c>
    </row>
    <row r="386" spans="1:6" x14ac:dyDescent="0.35">
      <c r="A386">
        <v>15.5</v>
      </c>
      <c r="B386">
        <v>5</v>
      </c>
      <c r="D386">
        <v>5.0000000000000001E-3</v>
      </c>
    </row>
    <row r="387" spans="1:6" x14ac:dyDescent="0.35">
      <c r="A387">
        <v>15</v>
      </c>
      <c r="B387">
        <v>5</v>
      </c>
      <c r="D387">
        <v>5.0000000000000001E-3</v>
      </c>
    </row>
    <row r="388" spans="1:6" x14ac:dyDescent="0.35">
      <c r="A388">
        <v>14.5</v>
      </c>
      <c r="B388">
        <v>5</v>
      </c>
      <c r="D388">
        <v>5.0000000000000001E-3</v>
      </c>
    </row>
    <row r="389" spans="1:6" x14ac:dyDescent="0.35">
      <c r="A389">
        <v>14</v>
      </c>
      <c r="B389">
        <v>5</v>
      </c>
      <c r="D389">
        <v>6.0000000000000001E-3</v>
      </c>
    </row>
    <row r="390" spans="1:6" x14ac:dyDescent="0.35">
      <c r="A390">
        <v>13.5</v>
      </c>
      <c r="B390">
        <v>5</v>
      </c>
      <c r="D390">
        <v>8.9999999999999993E-3</v>
      </c>
    </row>
    <row r="391" spans="1:6" x14ac:dyDescent="0.35">
      <c r="A391">
        <v>13</v>
      </c>
      <c r="B391">
        <v>5</v>
      </c>
      <c r="D391">
        <v>1.7000000000000001E-2</v>
      </c>
    </row>
    <row r="392" spans="1:6" x14ac:dyDescent="0.35">
      <c r="A392">
        <v>12.5</v>
      </c>
      <c r="B392">
        <v>5</v>
      </c>
      <c r="D392">
        <v>3.5999999999999997E-2</v>
      </c>
      <c r="E392">
        <v>3.5000000000000003E-2</v>
      </c>
      <c r="F392">
        <v>3.5999999999999997E-2</v>
      </c>
    </row>
    <row r="393" spans="1:6" x14ac:dyDescent="0.35">
      <c r="A393">
        <v>12</v>
      </c>
      <c r="B393">
        <v>5</v>
      </c>
      <c r="D393">
        <v>6.4000000000000001E-2</v>
      </c>
      <c r="E393">
        <v>6.2E-2</v>
      </c>
      <c r="F393">
        <v>6.6000000000000003E-2</v>
      </c>
    </row>
    <row r="394" spans="1:6" x14ac:dyDescent="0.35">
      <c r="A394">
        <v>11.5</v>
      </c>
      <c r="B394">
        <v>5</v>
      </c>
      <c r="D394">
        <v>0.14299999999999999</v>
      </c>
      <c r="E394">
        <v>0.14099999999999999</v>
      </c>
      <c r="F394">
        <v>0.14699999999999999</v>
      </c>
    </row>
    <row r="395" spans="1:6" x14ac:dyDescent="0.35">
      <c r="A395">
        <v>11</v>
      </c>
      <c r="B395">
        <v>5</v>
      </c>
      <c r="D395">
        <v>0.22600000000000001</v>
      </c>
      <c r="E395">
        <v>0.223</v>
      </c>
      <c r="F395">
        <v>0.23</v>
      </c>
    </row>
    <row r="396" spans="1:6" x14ac:dyDescent="0.35">
      <c r="A396">
        <v>10.5</v>
      </c>
      <c r="B396">
        <v>5</v>
      </c>
      <c r="D396">
        <v>0.40899999999999997</v>
      </c>
      <c r="E396">
        <v>0.40500000000000003</v>
      </c>
      <c r="F396">
        <v>0.41899999999999998</v>
      </c>
    </row>
    <row r="397" spans="1:6" x14ac:dyDescent="0.35">
      <c r="A397">
        <v>10</v>
      </c>
      <c r="B397">
        <v>5</v>
      </c>
      <c r="D397">
        <v>0.51700000000000002</v>
      </c>
      <c r="E397">
        <v>0.51400000000000001</v>
      </c>
      <c r="F397">
        <v>0.53</v>
      </c>
    </row>
    <row r="398" spans="1:6" x14ac:dyDescent="0.35">
      <c r="A398">
        <v>9.5</v>
      </c>
      <c r="B398">
        <v>5</v>
      </c>
      <c r="D398">
        <v>0.58199999999999996</v>
      </c>
      <c r="E398">
        <v>0.57899999999999996</v>
      </c>
      <c r="F398">
        <v>0.58499999999999996</v>
      </c>
    </row>
    <row r="399" spans="1:6" x14ac:dyDescent="0.35">
      <c r="A399">
        <v>9</v>
      </c>
      <c r="B399">
        <v>5</v>
      </c>
      <c r="D399">
        <v>0.68600000000000005</v>
      </c>
      <c r="E399">
        <v>0.68100000000000005</v>
      </c>
      <c r="F399">
        <v>0.69</v>
      </c>
    </row>
    <row r="400" spans="1:6" x14ac:dyDescent="0.35">
      <c r="A400">
        <v>8.5</v>
      </c>
      <c r="B400">
        <v>5</v>
      </c>
      <c r="D400">
        <v>0.74099999999999999</v>
      </c>
      <c r="E400">
        <v>0.73899999999999999</v>
      </c>
      <c r="F400">
        <v>0.74299999999999999</v>
      </c>
    </row>
    <row r="401" spans="1:6" x14ac:dyDescent="0.35">
      <c r="A401">
        <v>8</v>
      </c>
      <c r="B401">
        <v>5</v>
      </c>
      <c r="D401">
        <v>0.71199999999999997</v>
      </c>
      <c r="E401">
        <v>0.70899999999999996</v>
      </c>
      <c r="F401">
        <v>0.71399999999999997</v>
      </c>
    </row>
    <row r="402" spans="1:6" x14ac:dyDescent="0.35">
      <c r="A402">
        <v>7.5</v>
      </c>
      <c r="B402">
        <v>5</v>
      </c>
      <c r="D402">
        <v>0.57499999999999996</v>
      </c>
      <c r="E402">
        <v>0.57199999999999995</v>
      </c>
      <c r="F402">
        <v>0.58199999999999996</v>
      </c>
    </row>
    <row r="403" spans="1:6" x14ac:dyDescent="0.35">
      <c r="A403">
        <v>7</v>
      </c>
      <c r="B403">
        <v>5</v>
      </c>
      <c r="D403">
        <v>0.44600000000000001</v>
      </c>
      <c r="E403">
        <v>0.441</v>
      </c>
      <c r="F403">
        <v>0.45100000000000001</v>
      </c>
    </row>
    <row r="404" spans="1:6" x14ac:dyDescent="0.35">
      <c r="A404">
        <v>6.5</v>
      </c>
      <c r="B404">
        <v>5</v>
      </c>
      <c r="D404">
        <v>0.33100000000000002</v>
      </c>
      <c r="E404">
        <v>0.32400000000000001</v>
      </c>
      <c r="F404">
        <v>0.33500000000000002</v>
      </c>
    </row>
    <row r="405" spans="1:6" x14ac:dyDescent="0.35">
      <c r="A405">
        <v>6</v>
      </c>
      <c r="B405">
        <v>5</v>
      </c>
      <c r="D405">
        <v>0.184</v>
      </c>
      <c r="E405">
        <v>0.17599999999999999</v>
      </c>
      <c r="F405">
        <v>0.19600000000000001</v>
      </c>
    </row>
    <row r="406" spans="1:6" x14ac:dyDescent="0.35">
      <c r="A406">
        <v>5.5</v>
      </c>
      <c r="B406">
        <v>5</v>
      </c>
      <c r="D406">
        <v>8.5999999999999993E-2</v>
      </c>
      <c r="E406">
        <v>7.9000000000000001E-2</v>
      </c>
      <c r="F406">
        <v>9.6000000000000002E-2</v>
      </c>
    </row>
    <row r="407" spans="1:6" x14ac:dyDescent="0.35">
      <c r="A407">
        <v>5</v>
      </c>
      <c r="B407">
        <v>5</v>
      </c>
      <c r="D407">
        <v>6.2E-2</v>
      </c>
      <c r="E407">
        <v>0.06</v>
      </c>
      <c r="F407">
        <v>6.4000000000000001E-2</v>
      </c>
    </row>
    <row r="408" spans="1:6" x14ac:dyDescent="0.35">
      <c r="A408">
        <v>4.5</v>
      </c>
      <c r="B408">
        <v>5</v>
      </c>
      <c r="D408">
        <v>0.123</v>
      </c>
    </row>
    <row r="409" spans="1:6" x14ac:dyDescent="0.35">
      <c r="A409">
        <v>4</v>
      </c>
      <c r="B409">
        <v>5</v>
      </c>
      <c r="D409">
        <v>0.17699999999999999</v>
      </c>
      <c r="E409">
        <v>0.17399999999999999</v>
      </c>
      <c r="F409">
        <v>0.17799999999999999</v>
      </c>
    </row>
    <row r="410" spans="1:6" x14ac:dyDescent="0.35">
      <c r="A410">
        <v>3.5</v>
      </c>
      <c r="B410">
        <v>5</v>
      </c>
      <c r="D410">
        <v>0.23100000000000001</v>
      </c>
      <c r="E410">
        <v>0.22900000000000001</v>
      </c>
      <c r="F410">
        <v>0.23300000000000001</v>
      </c>
    </row>
    <row r="411" spans="1:6" x14ac:dyDescent="0.35">
      <c r="A411">
        <v>3</v>
      </c>
      <c r="B411">
        <v>5</v>
      </c>
      <c r="D411">
        <v>0.29099999999999998</v>
      </c>
      <c r="E411">
        <v>0.28799999999999998</v>
      </c>
      <c r="F411">
        <v>0.29199999999999998</v>
      </c>
    </row>
    <row r="412" spans="1:6" x14ac:dyDescent="0.35">
      <c r="A412">
        <v>2.5</v>
      </c>
      <c r="B412">
        <v>5</v>
      </c>
      <c r="D412">
        <v>0.32800000000000001</v>
      </c>
      <c r="E412">
        <v>0.32500000000000001</v>
      </c>
      <c r="F412">
        <v>0.33</v>
      </c>
    </row>
    <row r="413" spans="1:6" x14ac:dyDescent="0.35">
      <c r="A413">
        <v>2</v>
      </c>
      <c r="B413">
        <v>5</v>
      </c>
      <c r="D413">
        <v>0.35099999999999998</v>
      </c>
      <c r="E413">
        <v>0.34799999999999998</v>
      </c>
      <c r="F413">
        <v>0.35199999999999998</v>
      </c>
    </row>
    <row r="414" spans="1:6" x14ac:dyDescent="0.35">
      <c r="A414">
        <v>1.5</v>
      </c>
      <c r="B414">
        <v>5</v>
      </c>
      <c r="D414">
        <v>0.34200000000000003</v>
      </c>
      <c r="E414">
        <v>0.34100000000000003</v>
      </c>
      <c r="F414">
        <v>0.34300000000000003</v>
      </c>
    </row>
    <row r="415" spans="1:6" x14ac:dyDescent="0.35">
      <c r="A415">
        <v>1</v>
      </c>
      <c r="B415">
        <v>5</v>
      </c>
      <c r="D415">
        <v>0.316</v>
      </c>
      <c r="E415">
        <v>0.313</v>
      </c>
      <c r="F415">
        <v>0.318</v>
      </c>
    </row>
    <row r="416" spans="1:6" x14ac:dyDescent="0.35">
      <c r="A416">
        <v>0.5</v>
      </c>
      <c r="B416">
        <v>5</v>
      </c>
      <c r="D416">
        <v>0.27300000000000002</v>
      </c>
      <c r="E416">
        <v>0.27200000000000002</v>
      </c>
      <c r="F416">
        <v>0.27400000000000002</v>
      </c>
    </row>
    <row r="417" spans="1:6" x14ac:dyDescent="0.35">
      <c r="A417">
        <v>0</v>
      </c>
      <c r="B417">
        <v>5</v>
      </c>
      <c r="D417">
        <v>0.24</v>
      </c>
      <c r="E417">
        <v>0.23899999999999999</v>
      </c>
      <c r="F417">
        <v>0.24099999999999999</v>
      </c>
    </row>
    <row r="418" spans="1:6" x14ac:dyDescent="0.35">
      <c r="A418">
        <v>-0.5</v>
      </c>
      <c r="B418">
        <v>5</v>
      </c>
      <c r="D418">
        <v>0.17599999999999999</v>
      </c>
      <c r="E418">
        <v>0.17299999999999999</v>
      </c>
      <c r="F418">
        <v>0.17899999999999999</v>
      </c>
    </row>
    <row r="419" spans="1:6" x14ac:dyDescent="0.35">
      <c r="A419">
        <v>-1</v>
      </c>
      <c r="B419">
        <v>5</v>
      </c>
      <c r="D419">
        <v>0.13700000000000001</v>
      </c>
      <c r="E419">
        <v>0.13500000000000001</v>
      </c>
      <c r="F419">
        <v>0.13900000000000001</v>
      </c>
    </row>
    <row r="420" spans="1:6" x14ac:dyDescent="0.35">
      <c r="A420">
        <v>-1.5</v>
      </c>
      <c r="B420">
        <v>5</v>
      </c>
      <c r="D420">
        <v>9.1999999999999998E-2</v>
      </c>
      <c r="E420">
        <v>9.0999999999999998E-2</v>
      </c>
      <c r="F420">
        <v>9.2999999999999999E-2</v>
      </c>
    </row>
    <row r="421" spans="1:6" x14ac:dyDescent="0.35">
      <c r="A421">
        <v>-2</v>
      </c>
      <c r="B421">
        <v>5</v>
      </c>
      <c r="D421">
        <v>0.06</v>
      </c>
      <c r="E421">
        <v>0.06</v>
      </c>
      <c r="F421">
        <v>6.0999999999999999E-2</v>
      </c>
    </row>
    <row r="422" spans="1:6" x14ac:dyDescent="0.35">
      <c r="A422">
        <v>-2.5</v>
      </c>
      <c r="B422">
        <v>5</v>
      </c>
      <c r="D422">
        <v>3.7999999999999999E-2</v>
      </c>
      <c r="E422">
        <v>3.5999999999999997E-2</v>
      </c>
      <c r="F422">
        <v>3.7999999999999999E-2</v>
      </c>
    </row>
    <row r="423" spans="1:6" x14ac:dyDescent="0.35">
      <c r="A423">
        <v>-3</v>
      </c>
      <c r="B423">
        <v>5</v>
      </c>
      <c r="D423">
        <v>1.9E-2</v>
      </c>
    </row>
    <row r="424" spans="1:6" x14ac:dyDescent="0.35">
      <c r="A424">
        <v>-3.5</v>
      </c>
      <c r="B424">
        <v>5</v>
      </c>
      <c r="D424">
        <v>0.01</v>
      </c>
    </row>
    <row r="425" spans="1:6" x14ac:dyDescent="0.35">
      <c r="A425">
        <v>-4</v>
      </c>
      <c r="B425">
        <v>5</v>
      </c>
      <c r="D425">
        <v>6.0000000000000001E-3</v>
      </c>
    </row>
    <row r="426" spans="1:6" x14ac:dyDescent="0.35">
      <c r="A426">
        <v>-4.5</v>
      </c>
      <c r="B426">
        <v>5</v>
      </c>
      <c r="D426">
        <v>3.0000000000000001E-3</v>
      </c>
    </row>
    <row r="427" spans="1:6" x14ac:dyDescent="0.35">
      <c r="A427">
        <v>-5</v>
      </c>
      <c r="B427">
        <v>5</v>
      </c>
      <c r="D427">
        <v>3.0000000000000001E-3</v>
      </c>
    </row>
    <row r="428" spans="1:6" x14ac:dyDescent="0.35">
      <c r="A428">
        <v>-4.5</v>
      </c>
      <c r="B428">
        <v>5</v>
      </c>
      <c r="D428">
        <v>0.01</v>
      </c>
      <c r="E428">
        <v>0.01</v>
      </c>
      <c r="F428">
        <v>1.0999999999999999E-2</v>
      </c>
    </row>
    <row r="429" spans="1:6" x14ac:dyDescent="0.35">
      <c r="A429">
        <v>-4</v>
      </c>
      <c r="B429">
        <v>5</v>
      </c>
      <c r="D429">
        <v>1.4999999999999999E-2</v>
      </c>
    </row>
    <row r="430" spans="1:6" x14ac:dyDescent="0.35">
      <c r="A430">
        <v>-3.5</v>
      </c>
      <c r="B430">
        <v>5</v>
      </c>
      <c r="D430">
        <v>2.5000000000000001E-2</v>
      </c>
      <c r="E430">
        <v>2.4E-2</v>
      </c>
      <c r="F430">
        <v>2.5000000000000001E-2</v>
      </c>
    </row>
    <row r="431" spans="1:6" x14ac:dyDescent="0.35">
      <c r="A431">
        <v>-3</v>
      </c>
      <c r="B431">
        <v>5</v>
      </c>
      <c r="D431">
        <v>4.3999999999999997E-2</v>
      </c>
      <c r="E431">
        <v>4.3999999999999997E-2</v>
      </c>
      <c r="F431">
        <v>4.4999999999999998E-2</v>
      </c>
    </row>
    <row r="432" spans="1:6" x14ac:dyDescent="0.35">
      <c r="A432">
        <v>-2.5</v>
      </c>
      <c r="B432">
        <v>5</v>
      </c>
      <c r="D432">
        <v>6.6000000000000003E-2</v>
      </c>
      <c r="E432">
        <v>6.6000000000000003E-2</v>
      </c>
      <c r="F432">
        <v>6.9000000000000006E-2</v>
      </c>
    </row>
    <row r="433" spans="1:6" x14ac:dyDescent="0.35">
      <c r="A433">
        <v>-2</v>
      </c>
      <c r="B433">
        <v>5</v>
      </c>
      <c r="D433">
        <v>9.2999999999999999E-2</v>
      </c>
    </row>
    <row r="434" spans="1:6" x14ac:dyDescent="0.35">
      <c r="A434">
        <v>-1.5</v>
      </c>
      <c r="B434">
        <v>5</v>
      </c>
      <c r="D434">
        <v>0.13900000000000001</v>
      </c>
      <c r="E434">
        <v>0.13900000000000001</v>
      </c>
      <c r="F434">
        <v>0.14000000000000001</v>
      </c>
    </row>
    <row r="435" spans="1:6" x14ac:dyDescent="0.35">
      <c r="A435">
        <v>-1</v>
      </c>
      <c r="B435">
        <v>5</v>
      </c>
      <c r="D435">
        <v>0.17899999999999999</v>
      </c>
      <c r="E435">
        <v>0.17799999999999999</v>
      </c>
      <c r="F435">
        <v>0.18</v>
      </c>
    </row>
    <row r="436" spans="1:6" x14ac:dyDescent="0.35">
      <c r="A436">
        <v>-0.5</v>
      </c>
      <c r="B436">
        <v>5</v>
      </c>
      <c r="D436">
        <v>0.22900000000000001</v>
      </c>
      <c r="E436">
        <v>0.22700000000000001</v>
      </c>
      <c r="F436">
        <v>0.23200000000000001</v>
      </c>
    </row>
    <row r="437" spans="1:6" x14ac:dyDescent="0.35">
      <c r="A437">
        <v>0</v>
      </c>
      <c r="B437">
        <v>5</v>
      </c>
      <c r="D437">
        <v>0.28299999999999997</v>
      </c>
      <c r="E437">
        <v>0.28199999999999997</v>
      </c>
      <c r="F437">
        <v>0.28599999999999998</v>
      </c>
    </row>
    <row r="438" spans="1:6" x14ac:dyDescent="0.35">
      <c r="A438">
        <v>0.5</v>
      </c>
      <c r="B438">
        <v>5</v>
      </c>
      <c r="D438">
        <v>0.32500000000000001</v>
      </c>
      <c r="E438">
        <v>0.32400000000000001</v>
      </c>
      <c r="F438">
        <v>0.32600000000000001</v>
      </c>
    </row>
    <row r="439" spans="1:6" x14ac:dyDescent="0.35">
      <c r="A439">
        <v>1</v>
      </c>
      <c r="B439">
        <v>5</v>
      </c>
      <c r="D439">
        <v>0.34399999999999997</v>
      </c>
      <c r="E439">
        <v>0.34300000000000003</v>
      </c>
      <c r="F439">
        <v>0.34399999999999997</v>
      </c>
    </row>
    <row r="440" spans="1:6" x14ac:dyDescent="0.35">
      <c r="A440">
        <v>1.5</v>
      </c>
      <c r="B440">
        <v>5</v>
      </c>
      <c r="D440">
        <v>0.34899999999999998</v>
      </c>
      <c r="E440">
        <v>0.34699999999999998</v>
      </c>
      <c r="F440">
        <v>0.35</v>
      </c>
    </row>
    <row r="441" spans="1:6" x14ac:dyDescent="0.35">
      <c r="A441">
        <v>2</v>
      </c>
      <c r="B441">
        <v>5</v>
      </c>
      <c r="D441">
        <v>0.32200000000000001</v>
      </c>
      <c r="E441">
        <v>0.31900000000000001</v>
      </c>
      <c r="F441">
        <v>0.32300000000000001</v>
      </c>
    </row>
    <row r="442" spans="1:6" x14ac:dyDescent="0.35">
      <c r="A442">
        <v>2.5</v>
      </c>
      <c r="B442">
        <v>5</v>
      </c>
      <c r="D442">
        <v>0.25700000000000001</v>
      </c>
      <c r="E442">
        <v>0.249</v>
      </c>
      <c r="F442">
        <v>0.25800000000000001</v>
      </c>
    </row>
    <row r="443" spans="1:6" x14ac:dyDescent="0.35">
      <c r="A443">
        <v>3</v>
      </c>
      <c r="B443">
        <v>5</v>
      </c>
      <c r="D443">
        <v>0.20200000000000001</v>
      </c>
      <c r="E443">
        <v>0.2</v>
      </c>
      <c r="F443">
        <v>0.20699999999999999</v>
      </c>
    </row>
    <row r="444" spans="1:6" x14ac:dyDescent="0.35">
      <c r="A444">
        <v>3.5</v>
      </c>
      <c r="B444">
        <v>5</v>
      </c>
      <c r="D444">
        <v>0.16700000000000001</v>
      </c>
      <c r="E444">
        <v>0.16500000000000001</v>
      </c>
      <c r="F444">
        <v>0.17</v>
      </c>
    </row>
    <row r="445" spans="1:6" x14ac:dyDescent="0.35">
      <c r="A445">
        <v>4</v>
      </c>
      <c r="B445">
        <v>5</v>
      </c>
      <c r="D445">
        <v>0.13200000000000001</v>
      </c>
      <c r="E445">
        <v>0.128</v>
      </c>
      <c r="F445">
        <v>0.13500000000000001</v>
      </c>
    </row>
    <row r="446" spans="1:6" x14ac:dyDescent="0.35">
      <c r="A446">
        <v>4.5</v>
      </c>
      <c r="B446">
        <v>5</v>
      </c>
      <c r="D446">
        <v>0.12</v>
      </c>
      <c r="E446">
        <v>0.115</v>
      </c>
      <c r="F446">
        <v>0.124</v>
      </c>
    </row>
    <row r="447" spans="1:6" x14ac:dyDescent="0.35">
      <c r="A447">
        <v>5</v>
      </c>
      <c r="B447">
        <v>5</v>
      </c>
      <c r="D447">
        <v>0.14099999999999999</v>
      </c>
      <c r="E447">
        <v>0.13600000000000001</v>
      </c>
      <c r="F447">
        <v>0.156</v>
      </c>
    </row>
    <row r="448" spans="1:6" x14ac:dyDescent="0.35">
      <c r="A448">
        <v>5.5</v>
      </c>
      <c r="B448">
        <v>5</v>
      </c>
      <c r="D448">
        <v>0.20599999999999999</v>
      </c>
      <c r="E448">
        <v>0.19800000000000001</v>
      </c>
      <c r="F448">
        <v>0.21099999999999999</v>
      </c>
    </row>
    <row r="449" spans="1:6" x14ac:dyDescent="0.35">
      <c r="A449">
        <v>6</v>
      </c>
      <c r="B449">
        <v>5</v>
      </c>
      <c r="D449">
        <v>0.308</v>
      </c>
      <c r="E449">
        <v>0.28899999999999998</v>
      </c>
      <c r="F449">
        <v>0.313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3F28E-AFFF-4FAD-BDFE-F7D5AEF5E708}">
  <dimension ref="A1:H163"/>
  <sheetViews>
    <sheetView topLeftCell="A143" zoomScale="85" zoomScaleNormal="85" workbookViewId="0">
      <selection activeCell="N149" sqref="N149"/>
    </sheetView>
  </sheetViews>
  <sheetFormatPr defaultRowHeight="14.5" x14ac:dyDescent="0.35"/>
  <cols>
    <col min="4" max="4" width="15.26953125" customWidth="1"/>
    <col min="6" max="7" width="16.08984375" customWidth="1"/>
    <col min="8" max="8" width="14.36328125" customWidth="1"/>
  </cols>
  <sheetData>
    <row r="1" spans="1:8" x14ac:dyDescent="0.35">
      <c r="A1" s="1" t="s">
        <v>0</v>
      </c>
      <c r="B1" s="1" t="s">
        <v>1</v>
      </c>
      <c r="C1" s="1" t="s">
        <v>42</v>
      </c>
      <c r="D1" s="1" t="s">
        <v>41</v>
      </c>
      <c r="E1" s="1" t="s">
        <v>2</v>
      </c>
      <c r="F1" s="1" t="s">
        <v>24</v>
      </c>
      <c r="G1" s="1" t="s">
        <v>25</v>
      </c>
      <c r="H1" s="1" t="s">
        <v>3</v>
      </c>
    </row>
    <row r="2" spans="1:8" x14ac:dyDescent="0.35">
      <c r="A2" s="3" t="s">
        <v>48</v>
      </c>
      <c r="B2" s="2"/>
      <c r="C2" s="2"/>
      <c r="D2" s="2"/>
      <c r="E2" s="2"/>
      <c r="F2" s="2"/>
      <c r="G2" s="2"/>
    </row>
    <row r="3" spans="1:8" x14ac:dyDescent="0.35">
      <c r="A3">
        <v>4.5</v>
      </c>
      <c r="B3">
        <v>5</v>
      </c>
      <c r="E3">
        <v>1.4E-2</v>
      </c>
      <c r="F3">
        <v>1.4E-2</v>
      </c>
      <c r="G3">
        <v>1.7999999999999999E-2</v>
      </c>
    </row>
    <row r="4" spans="1:8" x14ac:dyDescent="0.35">
      <c r="A4">
        <v>4.5</v>
      </c>
      <c r="B4">
        <v>5.5</v>
      </c>
      <c r="E4">
        <v>9.0999999999999998E-2</v>
      </c>
      <c r="F4">
        <v>8.2000000000000003E-2</v>
      </c>
      <c r="G4">
        <v>0.1</v>
      </c>
    </row>
    <row r="5" spans="1:8" x14ac:dyDescent="0.35">
      <c r="A5">
        <v>4.5</v>
      </c>
      <c r="B5">
        <v>6</v>
      </c>
      <c r="E5">
        <v>0.224</v>
      </c>
      <c r="F5">
        <v>0.215</v>
      </c>
      <c r="G5">
        <v>0.23599999999999999</v>
      </c>
    </row>
    <row r="6" spans="1:8" x14ac:dyDescent="0.35">
      <c r="A6">
        <v>4.5</v>
      </c>
      <c r="B6">
        <v>6.5</v>
      </c>
      <c r="E6">
        <v>0.496</v>
      </c>
      <c r="F6">
        <v>0.48399999999999999</v>
      </c>
      <c r="G6">
        <v>0.51100000000000001</v>
      </c>
    </row>
    <row r="7" spans="1:8" x14ac:dyDescent="0.35">
      <c r="A7">
        <v>4.5</v>
      </c>
      <c r="B7">
        <v>7</v>
      </c>
      <c r="E7">
        <v>0.623</v>
      </c>
      <c r="F7">
        <v>0.60099999999999998</v>
      </c>
      <c r="G7">
        <v>0.63100000000000001</v>
      </c>
    </row>
    <row r="8" spans="1:8" x14ac:dyDescent="0.35">
      <c r="A8">
        <v>4.5</v>
      </c>
      <c r="B8">
        <v>7.5</v>
      </c>
      <c r="E8">
        <v>0.73199999999999998</v>
      </c>
      <c r="F8">
        <v>0.72399999999999998</v>
      </c>
      <c r="G8">
        <v>0.74</v>
      </c>
    </row>
    <row r="9" spans="1:8" x14ac:dyDescent="0.35">
      <c r="A9">
        <v>4.5</v>
      </c>
      <c r="B9">
        <v>8</v>
      </c>
      <c r="E9">
        <v>0.74</v>
      </c>
      <c r="F9">
        <v>0.73699999999999999</v>
      </c>
      <c r="G9">
        <v>0.74299999999999999</v>
      </c>
    </row>
    <row r="10" spans="1:8" x14ac:dyDescent="0.35">
      <c r="A10">
        <v>4.5</v>
      </c>
      <c r="B10">
        <v>8.5</v>
      </c>
      <c r="E10">
        <v>0.59</v>
      </c>
      <c r="F10">
        <v>0.58499999999999996</v>
      </c>
      <c r="G10">
        <v>0.59599999999999997</v>
      </c>
    </row>
    <row r="11" spans="1:8" x14ac:dyDescent="0.35">
      <c r="A11">
        <v>4.5</v>
      </c>
      <c r="B11">
        <v>9</v>
      </c>
      <c r="E11">
        <v>0.41499999999999998</v>
      </c>
      <c r="F11">
        <v>0.40699999999999997</v>
      </c>
      <c r="G11">
        <v>0.433</v>
      </c>
    </row>
    <row r="12" spans="1:8" x14ac:dyDescent="0.35">
      <c r="A12">
        <v>4.5</v>
      </c>
      <c r="B12">
        <v>9.5</v>
      </c>
      <c r="E12">
        <v>0.25700000000000001</v>
      </c>
      <c r="F12">
        <v>0.253</v>
      </c>
      <c r="G12">
        <v>0.26</v>
      </c>
    </row>
    <row r="13" spans="1:8" x14ac:dyDescent="0.35">
      <c r="A13">
        <v>4.5</v>
      </c>
      <c r="B13">
        <v>10</v>
      </c>
      <c r="E13">
        <v>0.161</v>
      </c>
      <c r="F13">
        <v>0.155</v>
      </c>
      <c r="G13">
        <v>0.16900000000000001</v>
      </c>
    </row>
    <row r="14" spans="1:8" x14ac:dyDescent="0.35">
      <c r="A14">
        <v>4.5</v>
      </c>
      <c r="B14">
        <v>10.5</v>
      </c>
      <c r="E14">
        <v>6.4000000000000001E-2</v>
      </c>
      <c r="F14">
        <v>6.0999999999999999E-2</v>
      </c>
      <c r="G14">
        <v>6.7000000000000004E-2</v>
      </c>
    </row>
    <row r="15" spans="1:8" x14ac:dyDescent="0.35">
      <c r="A15">
        <v>4.5</v>
      </c>
      <c r="B15">
        <v>11</v>
      </c>
      <c r="E15">
        <v>3.5999999999999997E-2</v>
      </c>
      <c r="F15">
        <v>3.3000000000000002E-2</v>
      </c>
      <c r="G15">
        <v>3.6999999999999998E-2</v>
      </c>
    </row>
    <row r="16" spans="1:8" x14ac:dyDescent="0.35">
      <c r="A16">
        <v>4.5</v>
      </c>
      <c r="B16">
        <v>11.5</v>
      </c>
      <c r="E16">
        <v>1.4E-2</v>
      </c>
      <c r="F16">
        <v>1.2999999999999999E-2</v>
      </c>
      <c r="G16">
        <v>1.4E-2</v>
      </c>
    </row>
    <row r="17" spans="1:7" x14ac:dyDescent="0.35">
      <c r="A17">
        <v>4.5</v>
      </c>
      <c r="B17">
        <v>12</v>
      </c>
      <c r="E17">
        <v>4.0000000000000001E-3</v>
      </c>
    </row>
    <row r="18" spans="1:7" x14ac:dyDescent="0.35">
      <c r="A18">
        <v>4.5</v>
      </c>
      <c r="B18">
        <v>12.5</v>
      </c>
      <c r="E18">
        <v>0</v>
      </c>
    </row>
    <row r="19" spans="1:7" x14ac:dyDescent="0.35">
      <c r="A19">
        <v>4.5</v>
      </c>
      <c r="B19">
        <v>13</v>
      </c>
      <c r="E19">
        <v>0</v>
      </c>
    </row>
    <row r="20" spans="1:7" x14ac:dyDescent="0.35">
      <c r="A20">
        <v>4.5</v>
      </c>
      <c r="B20">
        <v>13.5</v>
      </c>
      <c r="E20">
        <v>4.0000000000000001E-3</v>
      </c>
    </row>
    <row r="21" spans="1:7" x14ac:dyDescent="0.35">
      <c r="A21">
        <v>4.5</v>
      </c>
      <c r="B21">
        <v>14</v>
      </c>
      <c r="E21">
        <v>7.0000000000000001E-3</v>
      </c>
      <c r="F21">
        <v>7.0000000000000001E-3</v>
      </c>
      <c r="G21">
        <v>8.0000000000000002E-3</v>
      </c>
    </row>
    <row r="22" spans="1:7" x14ac:dyDescent="0.35">
      <c r="A22">
        <v>4.5</v>
      </c>
      <c r="B22">
        <v>14.5</v>
      </c>
      <c r="E22">
        <v>8.9999999999999993E-3</v>
      </c>
    </row>
    <row r="23" spans="1:7" x14ac:dyDescent="0.35">
      <c r="A23">
        <v>4.5</v>
      </c>
      <c r="B23">
        <v>15</v>
      </c>
      <c r="E23">
        <v>8.9999999999999993E-3</v>
      </c>
    </row>
    <row r="24" spans="1:7" x14ac:dyDescent="0.35">
      <c r="A24">
        <v>4.5</v>
      </c>
      <c r="B24">
        <v>14.5</v>
      </c>
      <c r="E24">
        <v>8.9999999999999993E-3</v>
      </c>
    </row>
    <row r="25" spans="1:7" x14ac:dyDescent="0.35">
      <c r="A25">
        <v>4.5</v>
      </c>
      <c r="B25">
        <v>14</v>
      </c>
      <c r="E25">
        <v>8.0000000000000002E-3</v>
      </c>
    </row>
    <row r="26" spans="1:7" x14ac:dyDescent="0.35">
      <c r="A26">
        <v>4.5</v>
      </c>
      <c r="B26">
        <v>13.5</v>
      </c>
      <c r="E26">
        <v>4.0000000000000001E-3</v>
      </c>
    </row>
    <row r="27" spans="1:7" x14ac:dyDescent="0.35">
      <c r="A27">
        <v>4.5</v>
      </c>
      <c r="B27">
        <v>13</v>
      </c>
      <c r="E27">
        <v>1E-3</v>
      </c>
    </row>
    <row r="28" spans="1:7" x14ac:dyDescent="0.35">
      <c r="A28">
        <v>4.5</v>
      </c>
      <c r="B28">
        <v>12.5</v>
      </c>
      <c r="E28">
        <v>0</v>
      </c>
    </row>
    <row r="29" spans="1:7" x14ac:dyDescent="0.35">
      <c r="A29">
        <v>4.5</v>
      </c>
      <c r="B29">
        <v>12</v>
      </c>
      <c r="E29">
        <v>1E-3</v>
      </c>
    </row>
    <row r="30" spans="1:7" x14ac:dyDescent="0.35">
      <c r="A30">
        <v>4.5</v>
      </c>
      <c r="B30">
        <v>11.5</v>
      </c>
      <c r="E30">
        <v>1.0999999999999999E-2</v>
      </c>
      <c r="F30">
        <v>1.0999999999999999E-2</v>
      </c>
      <c r="G30">
        <v>1.2E-2</v>
      </c>
    </row>
    <row r="31" spans="1:7" x14ac:dyDescent="0.35">
      <c r="A31">
        <v>4.5</v>
      </c>
      <c r="B31">
        <v>11</v>
      </c>
      <c r="E31">
        <v>2.9000000000000001E-2</v>
      </c>
    </row>
    <row r="32" spans="1:7" x14ac:dyDescent="0.35">
      <c r="A32">
        <v>4.5</v>
      </c>
      <c r="B32">
        <v>10.5</v>
      </c>
      <c r="E32">
        <v>6.9000000000000006E-2</v>
      </c>
      <c r="F32">
        <v>6.7000000000000004E-2</v>
      </c>
      <c r="G32">
        <v>7.1999999999999995E-2</v>
      </c>
    </row>
    <row r="33" spans="1:7" x14ac:dyDescent="0.35">
      <c r="A33">
        <v>4.5</v>
      </c>
      <c r="B33">
        <v>10</v>
      </c>
      <c r="E33">
        <v>0.13600000000000001</v>
      </c>
      <c r="F33">
        <v>0.13</v>
      </c>
      <c r="G33">
        <v>0.14199999999999999</v>
      </c>
    </row>
    <row r="34" spans="1:7" x14ac:dyDescent="0.35">
      <c r="A34">
        <v>4.5</v>
      </c>
      <c r="B34">
        <v>9.5</v>
      </c>
      <c r="E34">
        <v>0.26500000000000001</v>
      </c>
      <c r="F34">
        <v>0.249</v>
      </c>
      <c r="G34">
        <v>0.28199999999999997</v>
      </c>
    </row>
    <row r="35" spans="1:7" x14ac:dyDescent="0.35">
      <c r="A35">
        <v>4.5</v>
      </c>
      <c r="B35">
        <v>9</v>
      </c>
      <c r="E35">
        <v>0.45700000000000002</v>
      </c>
      <c r="F35">
        <v>0.438</v>
      </c>
      <c r="G35">
        <v>0.46500000000000002</v>
      </c>
    </row>
    <row r="36" spans="1:7" x14ac:dyDescent="0.35">
      <c r="A36">
        <v>4.5</v>
      </c>
      <c r="B36">
        <v>8.5</v>
      </c>
      <c r="E36">
        <v>0.55500000000000005</v>
      </c>
      <c r="F36">
        <v>0.54400000000000004</v>
      </c>
      <c r="G36">
        <v>0.54200000000000004</v>
      </c>
    </row>
    <row r="37" spans="1:7" x14ac:dyDescent="0.35">
      <c r="A37">
        <v>4.5</v>
      </c>
      <c r="B37">
        <v>8</v>
      </c>
      <c r="E37">
        <v>0.66200000000000003</v>
      </c>
      <c r="F37">
        <v>0.65700000000000003</v>
      </c>
      <c r="G37">
        <v>0.67100000000000004</v>
      </c>
    </row>
    <row r="38" spans="1:7" x14ac:dyDescent="0.35">
      <c r="A38">
        <v>4.5</v>
      </c>
      <c r="B38">
        <v>7.5</v>
      </c>
      <c r="E38">
        <v>0.73899999999999999</v>
      </c>
      <c r="F38">
        <v>0.73799999999999999</v>
      </c>
      <c r="G38">
        <v>0.74299999999999999</v>
      </c>
    </row>
    <row r="39" spans="1:7" x14ac:dyDescent="0.35">
      <c r="A39">
        <v>4.5</v>
      </c>
      <c r="B39">
        <v>7</v>
      </c>
      <c r="E39">
        <v>0.57299999999999995</v>
      </c>
      <c r="F39">
        <v>0.56799999999999995</v>
      </c>
      <c r="G39">
        <v>0.59099999999999997</v>
      </c>
    </row>
    <row r="40" spans="1:7" x14ac:dyDescent="0.35">
      <c r="A40">
        <v>4.5</v>
      </c>
      <c r="B40">
        <v>6.5</v>
      </c>
      <c r="E40">
        <v>0.45700000000000002</v>
      </c>
      <c r="F40">
        <v>0.44</v>
      </c>
      <c r="G40">
        <v>0.47599999999999998</v>
      </c>
    </row>
    <row r="41" spans="1:7" x14ac:dyDescent="0.35">
      <c r="A41">
        <v>4.5</v>
      </c>
      <c r="B41">
        <v>6</v>
      </c>
      <c r="E41">
        <v>0.373</v>
      </c>
      <c r="F41">
        <v>0.36899999999999999</v>
      </c>
      <c r="G41">
        <v>0.39</v>
      </c>
    </row>
    <row r="42" spans="1:7" x14ac:dyDescent="0.35">
      <c r="A42">
        <v>4.5</v>
      </c>
      <c r="B42">
        <v>5.5</v>
      </c>
      <c r="E42">
        <v>3.5000000000000003E-2</v>
      </c>
      <c r="F42">
        <v>3.3000000000000002E-2</v>
      </c>
      <c r="G42">
        <v>3.7999999999999999E-2</v>
      </c>
    </row>
    <row r="43" spans="1:7" x14ac:dyDescent="0.35">
      <c r="A43">
        <v>4.5</v>
      </c>
      <c r="B43">
        <v>5</v>
      </c>
      <c r="E43">
        <v>1.4999999999999999E-2</v>
      </c>
      <c r="F43">
        <v>1.4999999999999999E-2</v>
      </c>
      <c r="G43">
        <v>1.6E-2</v>
      </c>
    </row>
    <row r="44" spans="1:7" x14ac:dyDescent="0.35">
      <c r="A44">
        <v>4.5</v>
      </c>
      <c r="B44">
        <v>4.5</v>
      </c>
      <c r="E44">
        <v>9.8000000000000004E-2</v>
      </c>
      <c r="F44">
        <v>7.5999999999999998E-2</v>
      </c>
      <c r="G44">
        <v>0.106</v>
      </c>
    </row>
    <row r="45" spans="1:7" x14ac:dyDescent="0.35">
      <c r="A45">
        <v>4.5</v>
      </c>
      <c r="B45">
        <v>4</v>
      </c>
      <c r="E45">
        <v>0.27600000000000002</v>
      </c>
      <c r="F45">
        <v>0.26200000000000001</v>
      </c>
      <c r="G45">
        <v>0.28199999999999997</v>
      </c>
    </row>
    <row r="46" spans="1:7" x14ac:dyDescent="0.35">
      <c r="A46">
        <v>4.5</v>
      </c>
      <c r="B46">
        <v>3.5</v>
      </c>
      <c r="E46">
        <v>0.38300000000000001</v>
      </c>
      <c r="F46">
        <v>0.379</v>
      </c>
      <c r="G46">
        <v>0.39100000000000001</v>
      </c>
    </row>
    <row r="47" spans="1:7" x14ac:dyDescent="0.35">
      <c r="A47">
        <v>4.5</v>
      </c>
      <c r="B47">
        <v>3</v>
      </c>
      <c r="E47">
        <v>0.42499999999999999</v>
      </c>
      <c r="F47">
        <v>0.42299999999999999</v>
      </c>
      <c r="G47">
        <v>0.42599999999999999</v>
      </c>
    </row>
    <row r="48" spans="1:7" x14ac:dyDescent="0.35">
      <c r="A48">
        <v>4.5</v>
      </c>
      <c r="B48">
        <v>2.5</v>
      </c>
      <c r="E48">
        <v>0.40400000000000003</v>
      </c>
      <c r="F48">
        <v>0.39900000000000002</v>
      </c>
      <c r="G48">
        <v>0.41099999999999998</v>
      </c>
    </row>
    <row r="49" spans="1:7" x14ac:dyDescent="0.35">
      <c r="A49">
        <v>4.5</v>
      </c>
      <c r="B49">
        <v>2</v>
      </c>
      <c r="E49">
        <v>0.32400000000000001</v>
      </c>
      <c r="F49">
        <v>0.314</v>
      </c>
      <c r="G49">
        <v>0.33</v>
      </c>
    </row>
    <row r="50" spans="1:7" x14ac:dyDescent="0.35">
      <c r="A50">
        <v>4.5</v>
      </c>
      <c r="B50">
        <v>1.5</v>
      </c>
      <c r="E50">
        <v>0.28199999999999997</v>
      </c>
      <c r="F50">
        <v>0.27100000000000002</v>
      </c>
      <c r="G50">
        <v>0.28699999999999998</v>
      </c>
    </row>
    <row r="51" spans="1:7" x14ac:dyDescent="0.35">
      <c r="A51">
        <v>4.5</v>
      </c>
      <c r="B51">
        <v>1</v>
      </c>
      <c r="E51">
        <v>0.19500000000000001</v>
      </c>
      <c r="F51">
        <v>0.185</v>
      </c>
      <c r="G51">
        <v>0.2</v>
      </c>
    </row>
    <row r="52" spans="1:7" x14ac:dyDescent="0.35">
      <c r="A52">
        <v>4.5</v>
      </c>
      <c r="B52">
        <v>0.5</v>
      </c>
      <c r="E52">
        <v>0.107</v>
      </c>
      <c r="F52">
        <v>0.106</v>
      </c>
      <c r="G52">
        <v>0.111</v>
      </c>
    </row>
    <row r="53" spans="1:7" x14ac:dyDescent="0.35">
      <c r="A53">
        <v>4.5</v>
      </c>
      <c r="B53">
        <v>0</v>
      </c>
      <c r="E53">
        <v>8.2000000000000003E-2</v>
      </c>
      <c r="F53">
        <v>8.1000000000000003E-2</v>
      </c>
      <c r="G53">
        <v>8.4000000000000005E-2</v>
      </c>
    </row>
    <row r="54" spans="1:7" x14ac:dyDescent="0.35">
      <c r="A54">
        <v>4.5</v>
      </c>
      <c r="B54">
        <v>-0.5</v>
      </c>
      <c r="E54">
        <v>7.1999999999999995E-2</v>
      </c>
      <c r="F54">
        <v>7.0999999999999994E-2</v>
      </c>
      <c r="G54">
        <v>7.2999999999999995E-2</v>
      </c>
    </row>
    <row r="55" spans="1:7" x14ac:dyDescent="0.35">
      <c r="A55">
        <v>4.5</v>
      </c>
      <c r="B55">
        <v>-1</v>
      </c>
      <c r="E55">
        <v>5.0999999999999997E-2</v>
      </c>
      <c r="F55">
        <v>0.05</v>
      </c>
      <c r="G55">
        <v>5.1999999999999998E-2</v>
      </c>
    </row>
    <row r="56" spans="1:7" x14ac:dyDescent="0.35">
      <c r="A56">
        <v>4.5</v>
      </c>
      <c r="B56">
        <v>-1.5</v>
      </c>
      <c r="E56">
        <v>4.4999999999999998E-2</v>
      </c>
    </row>
    <row r="57" spans="1:7" x14ac:dyDescent="0.35">
      <c r="A57">
        <v>4.5</v>
      </c>
      <c r="B57">
        <v>-2</v>
      </c>
      <c r="E57">
        <v>4.3999999999999997E-2</v>
      </c>
    </row>
    <row r="58" spans="1:7" x14ac:dyDescent="0.35">
      <c r="A58">
        <v>4.5</v>
      </c>
      <c r="B58">
        <v>-2.5</v>
      </c>
      <c r="E58">
        <v>4.3999999999999997E-2</v>
      </c>
    </row>
    <row r="59" spans="1:7" x14ac:dyDescent="0.35">
      <c r="A59">
        <v>4.5</v>
      </c>
      <c r="B59">
        <v>-3</v>
      </c>
      <c r="E59">
        <v>4.2000000000000003E-2</v>
      </c>
    </row>
    <row r="60" spans="1:7" x14ac:dyDescent="0.35">
      <c r="A60">
        <v>4.5</v>
      </c>
      <c r="B60">
        <v>-3.5</v>
      </c>
      <c r="E60">
        <v>3.7999999999999999E-2</v>
      </c>
    </row>
    <row r="61" spans="1:7" x14ac:dyDescent="0.35">
      <c r="A61">
        <v>4.5</v>
      </c>
      <c r="B61">
        <v>-4</v>
      </c>
      <c r="E61">
        <v>3.1E-2</v>
      </c>
    </row>
    <row r="62" spans="1:7" x14ac:dyDescent="0.35">
      <c r="A62">
        <v>4.5</v>
      </c>
      <c r="B62">
        <v>-4.5</v>
      </c>
      <c r="E62">
        <v>2.5999999999999999E-2</v>
      </c>
      <c r="F62">
        <v>2.5999999999999999E-2</v>
      </c>
      <c r="G62">
        <v>2.7E-2</v>
      </c>
    </row>
    <row r="63" spans="1:7" x14ac:dyDescent="0.35">
      <c r="A63">
        <v>4.5</v>
      </c>
      <c r="B63">
        <v>-5</v>
      </c>
      <c r="E63">
        <v>2.3E-2</v>
      </c>
    </row>
    <row r="64" spans="1:7" x14ac:dyDescent="0.35">
      <c r="A64">
        <v>4.5</v>
      </c>
      <c r="B64">
        <v>-4.5</v>
      </c>
      <c r="E64">
        <v>3.3000000000000002E-2</v>
      </c>
      <c r="F64">
        <v>3.1E-2</v>
      </c>
      <c r="G64">
        <v>3.3000000000000002E-2</v>
      </c>
    </row>
    <row r="65" spans="1:7" x14ac:dyDescent="0.35">
      <c r="A65">
        <v>4.5</v>
      </c>
      <c r="B65">
        <v>-4</v>
      </c>
      <c r="E65">
        <v>3.7999999999999999E-2</v>
      </c>
      <c r="F65">
        <v>3.6999999999999998E-2</v>
      </c>
      <c r="G65">
        <v>3.9E-2</v>
      </c>
    </row>
    <row r="66" spans="1:7" x14ac:dyDescent="0.35">
      <c r="A66">
        <v>4.5</v>
      </c>
      <c r="B66">
        <v>-3.5</v>
      </c>
      <c r="E66">
        <v>4.2000000000000003E-2</v>
      </c>
    </row>
    <row r="67" spans="1:7" x14ac:dyDescent="0.35">
      <c r="A67">
        <v>4.5</v>
      </c>
      <c r="B67">
        <v>-3</v>
      </c>
      <c r="E67">
        <v>4.2999999999999997E-2</v>
      </c>
    </row>
    <row r="68" spans="1:7" x14ac:dyDescent="0.35">
      <c r="A68">
        <v>4.5</v>
      </c>
      <c r="B68">
        <v>-2.5</v>
      </c>
      <c r="E68">
        <v>4.3999999999999997E-2</v>
      </c>
    </row>
    <row r="69" spans="1:7" x14ac:dyDescent="0.35">
      <c r="A69">
        <v>4.5</v>
      </c>
      <c r="B69">
        <v>-2</v>
      </c>
      <c r="E69">
        <v>4.5999999999999999E-2</v>
      </c>
      <c r="F69">
        <v>4.5999999999999999E-2</v>
      </c>
      <c r="G69">
        <v>4.7E-2</v>
      </c>
    </row>
    <row r="70" spans="1:7" x14ac:dyDescent="0.35">
      <c r="A70">
        <v>4.5</v>
      </c>
      <c r="B70">
        <v>-1.5</v>
      </c>
      <c r="E70">
        <v>5.8999999999999997E-2</v>
      </c>
      <c r="F70">
        <v>5.8000000000000003E-2</v>
      </c>
      <c r="G70">
        <v>5.8999999999999997E-2</v>
      </c>
    </row>
    <row r="71" spans="1:7" x14ac:dyDescent="0.35">
      <c r="A71">
        <v>4.5</v>
      </c>
      <c r="B71">
        <v>-1</v>
      </c>
      <c r="E71">
        <v>8.7999999999999995E-2</v>
      </c>
      <c r="F71">
        <v>8.6999999999999994E-2</v>
      </c>
      <c r="G71">
        <v>0.09</v>
      </c>
    </row>
    <row r="72" spans="1:7" x14ac:dyDescent="0.35">
      <c r="A72">
        <v>4.5</v>
      </c>
      <c r="B72">
        <v>-0.5</v>
      </c>
      <c r="E72">
        <v>0.122</v>
      </c>
      <c r="F72">
        <v>0.11899999999999999</v>
      </c>
      <c r="G72">
        <v>0.123</v>
      </c>
    </row>
    <row r="73" spans="1:7" x14ac:dyDescent="0.35">
      <c r="A73">
        <v>4.5</v>
      </c>
      <c r="B73">
        <v>0</v>
      </c>
      <c r="E73">
        <v>0.16200000000000001</v>
      </c>
      <c r="F73">
        <v>0.159</v>
      </c>
      <c r="G73">
        <v>0.16800000000000001</v>
      </c>
    </row>
    <row r="74" spans="1:7" x14ac:dyDescent="0.35">
      <c r="A74">
        <v>4.5</v>
      </c>
      <c r="B74">
        <v>0.5</v>
      </c>
      <c r="E74">
        <v>0.23799999999999999</v>
      </c>
      <c r="F74">
        <v>0.23300000000000001</v>
      </c>
      <c r="G74">
        <v>0.248</v>
      </c>
    </row>
    <row r="75" spans="1:7" x14ac:dyDescent="0.35">
      <c r="A75">
        <v>4.5</v>
      </c>
      <c r="B75">
        <v>1</v>
      </c>
      <c r="E75">
        <v>0.28000000000000003</v>
      </c>
      <c r="F75">
        <v>0.27100000000000002</v>
      </c>
      <c r="G75">
        <v>0.28599999999999998</v>
      </c>
    </row>
    <row r="76" spans="1:7" x14ac:dyDescent="0.35">
      <c r="A76">
        <v>4.5</v>
      </c>
      <c r="B76">
        <v>1.5</v>
      </c>
      <c r="E76">
        <v>0.36799999999999999</v>
      </c>
      <c r="F76">
        <v>0.36399999999999999</v>
      </c>
      <c r="G76">
        <v>0.371</v>
      </c>
    </row>
    <row r="77" spans="1:7" x14ac:dyDescent="0.35">
      <c r="A77">
        <v>4.5</v>
      </c>
      <c r="B77">
        <v>2</v>
      </c>
      <c r="E77">
        <v>0.39200000000000002</v>
      </c>
      <c r="F77">
        <v>0.39100000000000001</v>
      </c>
      <c r="G77">
        <v>0.39400000000000002</v>
      </c>
    </row>
    <row r="78" spans="1:7" x14ac:dyDescent="0.35">
      <c r="A78">
        <v>4.5</v>
      </c>
      <c r="B78">
        <v>2.5</v>
      </c>
      <c r="E78">
        <v>0.40200000000000002</v>
      </c>
      <c r="F78">
        <v>0.39800000000000002</v>
      </c>
      <c r="G78">
        <v>0.40699999999999997</v>
      </c>
    </row>
    <row r="79" spans="1:7" x14ac:dyDescent="0.35">
      <c r="A79">
        <v>4.5</v>
      </c>
      <c r="B79">
        <v>3</v>
      </c>
      <c r="E79">
        <v>0.371</v>
      </c>
      <c r="F79">
        <v>0.36099999999999999</v>
      </c>
      <c r="G79">
        <v>0.77</v>
      </c>
    </row>
    <row r="80" spans="1:7" x14ac:dyDescent="0.35">
      <c r="A80">
        <v>4.5</v>
      </c>
      <c r="B80">
        <v>3.5</v>
      </c>
      <c r="E80">
        <v>0.27300000000000002</v>
      </c>
      <c r="F80">
        <v>0.26200000000000001</v>
      </c>
      <c r="G80">
        <v>0.28000000000000003</v>
      </c>
    </row>
    <row r="81" spans="1:7" x14ac:dyDescent="0.35">
      <c r="A81">
        <v>4.5</v>
      </c>
      <c r="B81">
        <v>4</v>
      </c>
      <c r="E81">
        <v>0.14599999999999999</v>
      </c>
      <c r="F81">
        <v>0.13100000000000001</v>
      </c>
      <c r="G81">
        <v>0.17100000000000001</v>
      </c>
    </row>
    <row r="82" spans="1:7" x14ac:dyDescent="0.35">
      <c r="A82">
        <v>4.5</v>
      </c>
      <c r="B82">
        <v>4.5</v>
      </c>
      <c r="E82">
        <v>7.0999999999999994E-2</v>
      </c>
      <c r="F82">
        <v>6.8000000000000005E-2</v>
      </c>
      <c r="G82">
        <v>8.4000000000000005E-2</v>
      </c>
    </row>
    <row r="83" spans="1:7" x14ac:dyDescent="0.35">
      <c r="A83">
        <v>4.5</v>
      </c>
      <c r="B83">
        <v>5</v>
      </c>
      <c r="E83">
        <v>6.5000000000000002E-2</v>
      </c>
      <c r="F83">
        <v>5.8999999999999997E-2</v>
      </c>
      <c r="G83">
        <v>7.8E-2</v>
      </c>
    </row>
    <row r="84" spans="1:7" x14ac:dyDescent="0.35">
      <c r="A84">
        <v>4.5</v>
      </c>
      <c r="B84">
        <v>5.5</v>
      </c>
      <c r="E84">
        <v>0.14699999999999999</v>
      </c>
      <c r="F84">
        <v>0.13300000000000001</v>
      </c>
      <c r="G84">
        <v>0.155</v>
      </c>
    </row>
    <row r="85" spans="1:7" x14ac:dyDescent="0.35">
      <c r="A85">
        <v>4.5</v>
      </c>
      <c r="B85">
        <v>6</v>
      </c>
      <c r="E85">
        <v>0.33800000000000002</v>
      </c>
      <c r="F85">
        <v>0.317</v>
      </c>
      <c r="G85">
        <v>0.34799999999999998</v>
      </c>
    </row>
    <row r="86" spans="1:7" x14ac:dyDescent="0.35">
      <c r="A86">
        <v>4.5</v>
      </c>
      <c r="B86">
        <v>6.5</v>
      </c>
      <c r="E86">
        <v>0.44800000000000001</v>
      </c>
      <c r="F86">
        <v>0.42</v>
      </c>
      <c r="G86">
        <v>0.45500000000000002</v>
      </c>
    </row>
    <row r="87" spans="1:7" x14ac:dyDescent="0.35">
      <c r="A87">
        <v>4.5</v>
      </c>
      <c r="B87">
        <v>7</v>
      </c>
      <c r="E87">
        <v>0.748</v>
      </c>
      <c r="F87">
        <v>0.74199999999999999</v>
      </c>
      <c r="G87">
        <v>0.754</v>
      </c>
    </row>
    <row r="88" spans="1:7" x14ac:dyDescent="0.35">
      <c r="A88">
        <v>4.5</v>
      </c>
      <c r="B88">
        <v>7.5</v>
      </c>
      <c r="E88">
        <v>0.75700000000000001</v>
      </c>
      <c r="F88">
        <v>0.75700000000000001</v>
      </c>
      <c r="G88">
        <v>0.75800000000000001</v>
      </c>
    </row>
    <row r="89" spans="1:7" x14ac:dyDescent="0.35">
      <c r="A89">
        <v>4.5</v>
      </c>
      <c r="B89">
        <v>8</v>
      </c>
      <c r="E89">
        <v>0.68600000000000005</v>
      </c>
      <c r="F89">
        <v>0.67600000000000005</v>
      </c>
      <c r="G89">
        <v>0.70099999999999996</v>
      </c>
    </row>
    <row r="90" spans="1:7" x14ac:dyDescent="0.35">
      <c r="A90">
        <v>4.5</v>
      </c>
      <c r="B90">
        <v>8.5</v>
      </c>
      <c r="E90">
        <v>0.57099999999999995</v>
      </c>
      <c r="F90">
        <v>0.55500000000000005</v>
      </c>
      <c r="G90">
        <v>0.58599999999999997</v>
      </c>
    </row>
    <row r="91" spans="1:7" x14ac:dyDescent="0.35">
      <c r="A91">
        <v>4.5</v>
      </c>
      <c r="B91">
        <v>9</v>
      </c>
      <c r="E91">
        <v>0.374</v>
      </c>
      <c r="F91">
        <v>0.36599999999999999</v>
      </c>
      <c r="G91">
        <v>0.39100000000000001</v>
      </c>
    </row>
    <row r="92" spans="1:7" x14ac:dyDescent="0.35">
      <c r="A92">
        <v>4.5</v>
      </c>
      <c r="B92">
        <v>9.5</v>
      </c>
      <c r="E92">
        <v>0.32500000000000001</v>
      </c>
      <c r="F92">
        <v>0.312</v>
      </c>
      <c r="G92">
        <v>0.33700000000000002</v>
      </c>
    </row>
    <row r="93" spans="1:7" x14ac:dyDescent="0.35">
      <c r="A93">
        <v>4.5</v>
      </c>
      <c r="B93">
        <v>10</v>
      </c>
      <c r="E93">
        <v>0.157</v>
      </c>
      <c r="F93">
        <v>0.14899999999999999</v>
      </c>
      <c r="G93">
        <v>0.16300000000000001</v>
      </c>
    </row>
    <row r="94" spans="1:7" x14ac:dyDescent="0.35">
      <c r="A94">
        <v>4.5</v>
      </c>
      <c r="B94">
        <v>10.5</v>
      </c>
      <c r="E94">
        <v>8.5000000000000006E-2</v>
      </c>
      <c r="F94">
        <v>7.9000000000000001E-2</v>
      </c>
      <c r="G94">
        <v>9.1999999999999998E-2</v>
      </c>
    </row>
    <row r="95" spans="1:7" x14ac:dyDescent="0.35">
      <c r="A95">
        <v>4.5</v>
      </c>
      <c r="B95">
        <v>11</v>
      </c>
      <c r="E95">
        <v>3.2000000000000001E-2</v>
      </c>
      <c r="F95">
        <v>2.9000000000000001E-2</v>
      </c>
      <c r="G95">
        <v>3.4000000000000002E-2</v>
      </c>
    </row>
    <row r="96" spans="1:7" x14ac:dyDescent="0.35">
      <c r="A96">
        <v>4.5</v>
      </c>
      <c r="B96">
        <v>11.5</v>
      </c>
      <c r="E96">
        <v>3.0000000000000001E-3</v>
      </c>
    </row>
    <row r="97" spans="1:7" x14ac:dyDescent="0.35">
      <c r="A97">
        <v>4.5</v>
      </c>
      <c r="B97">
        <v>12</v>
      </c>
      <c r="E97">
        <v>4.0000000000000001E-3</v>
      </c>
    </row>
    <row r="98" spans="1:7" x14ac:dyDescent="0.35">
      <c r="A98">
        <v>4.5</v>
      </c>
      <c r="B98">
        <v>12.5</v>
      </c>
      <c r="E98">
        <v>1E-3</v>
      </c>
    </row>
    <row r="99" spans="1:7" x14ac:dyDescent="0.35">
      <c r="A99">
        <v>4.5</v>
      </c>
      <c r="B99">
        <v>13</v>
      </c>
      <c r="E99">
        <v>0</v>
      </c>
    </row>
    <row r="100" spans="1:7" x14ac:dyDescent="0.35">
      <c r="A100">
        <v>4.5</v>
      </c>
      <c r="B100">
        <v>13.5</v>
      </c>
      <c r="E100">
        <v>2E-3</v>
      </c>
      <c r="F100">
        <v>2E-3</v>
      </c>
      <c r="G100">
        <v>3.0000000000000001E-3</v>
      </c>
    </row>
    <row r="101" spans="1:7" x14ac:dyDescent="0.35">
      <c r="A101">
        <v>4.5</v>
      </c>
      <c r="B101">
        <v>14</v>
      </c>
      <c r="E101">
        <v>6.0000000000000001E-3</v>
      </c>
    </row>
    <row r="102" spans="1:7" x14ac:dyDescent="0.35">
      <c r="A102">
        <v>4.5</v>
      </c>
      <c r="B102">
        <v>14.5</v>
      </c>
      <c r="E102">
        <v>8.0000000000000002E-3</v>
      </c>
    </row>
    <row r="103" spans="1:7" x14ac:dyDescent="0.35">
      <c r="A103">
        <v>4.5</v>
      </c>
      <c r="B103">
        <v>15</v>
      </c>
      <c r="E103">
        <v>8.0000000000000002E-3</v>
      </c>
    </row>
    <row r="104" spans="1:7" x14ac:dyDescent="0.35">
      <c r="A104">
        <v>4.5</v>
      </c>
      <c r="B104">
        <v>14.5</v>
      </c>
      <c r="E104">
        <v>6.0000000000000001E-3</v>
      </c>
    </row>
    <row r="105" spans="1:7" x14ac:dyDescent="0.35">
      <c r="A105">
        <v>4.5</v>
      </c>
      <c r="B105">
        <v>14</v>
      </c>
      <c r="E105">
        <v>5.0000000000000001E-3</v>
      </c>
    </row>
    <row r="106" spans="1:7" x14ac:dyDescent="0.35">
      <c r="A106">
        <v>4.5</v>
      </c>
      <c r="B106">
        <v>13.5</v>
      </c>
      <c r="E106">
        <v>2E-3</v>
      </c>
      <c r="F106">
        <v>2E-3</v>
      </c>
      <c r="G106">
        <v>3.0000000000000001E-3</v>
      </c>
    </row>
    <row r="107" spans="1:7" x14ac:dyDescent="0.35">
      <c r="A107">
        <v>4.5</v>
      </c>
      <c r="B107">
        <v>13</v>
      </c>
      <c r="E107">
        <v>0</v>
      </c>
    </row>
    <row r="108" spans="1:7" x14ac:dyDescent="0.35">
      <c r="A108">
        <v>4.5</v>
      </c>
      <c r="B108">
        <v>12.5</v>
      </c>
      <c r="E108">
        <v>0</v>
      </c>
    </row>
    <row r="109" spans="1:7" x14ac:dyDescent="0.35">
      <c r="A109">
        <v>4.5</v>
      </c>
      <c r="B109">
        <v>12</v>
      </c>
      <c r="E109">
        <v>6.0000000000000001E-3</v>
      </c>
    </row>
    <row r="110" spans="1:7" x14ac:dyDescent="0.35">
      <c r="A110">
        <v>4.5</v>
      </c>
      <c r="B110">
        <v>11.5</v>
      </c>
      <c r="E110">
        <v>1.2E-2</v>
      </c>
    </row>
    <row r="111" spans="1:7" x14ac:dyDescent="0.35">
      <c r="A111">
        <v>4.5</v>
      </c>
      <c r="B111">
        <v>11</v>
      </c>
      <c r="E111">
        <v>4.1000000000000002E-2</v>
      </c>
      <c r="F111">
        <v>3.7999999999999999E-2</v>
      </c>
      <c r="G111">
        <v>4.1000000000000002E-2</v>
      </c>
    </row>
    <row r="112" spans="1:7" x14ac:dyDescent="0.35">
      <c r="A112">
        <v>4.5</v>
      </c>
      <c r="B112">
        <v>10.5</v>
      </c>
      <c r="E112">
        <v>0.104</v>
      </c>
      <c r="F112">
        <v>9.1999999999999998E-2</v>
      </c>
      <c r="G112">
        <v>0.109</v>
      </c>
    </row>
    <row r="113" spans="1:7" x14ac:dyDescent="0.35">
      <c r="A113">
        <v>4.5</v>
      </c>
      <c r="B113">
        <v>10</v>
      </c>
      <c r="E113">
        <v>0.19600000000000001</v>
      </c>
      <c r="F113">
        <v>0.188</v>
      </c>
      <c r="G113">
        <v>0.20499999999999999</v>
      </c>
    </row>
    <row r="114" spans="1:7" x14ac:dyDescent="0.35">
      <c r="A114">
        <v>4.5</v>
      </c>
      <c r="B114">
        <v>9.5</v>
      </c>
      <c r="E114">
        <v>0.35599999999999998</v>
      </c>
      <c r="F114">
        <v>0.33</v>
      </c>
      <c r="G114">
        <v>0.36199999999999999</v>
      </c>
    </row>
    <row r="115" spans="1:7" x14ac:dyDescent="0.35">
      <c r="A115">
        <v>4.5</v>
      </c>
      <c r="B115">
        <v>9</v>
      </c>
      <c r="E115">
        <v>0.52100000000000002</v>
      </c>
      <c r="F115">
        <v>0.49399999999999999</v>
      </c>
      <c r="G115">
        <v>0.52700000000000002</v>
      </c>
    </row>
    <row r="116" spans="1:7" x14ac:dyDescent="0.35">
      <c r="A116">
        <v>4.5</v>
      </c>
      <c r="B116">
        <v>8.5</v>
      </c>
      <c r="E116">
        <v>0.65800000000000003</v>
      </c>
      <c r="F116">
        <v>0.64800000000000002</v>
      </c>
      <c r="G116">
        <v>0.66200000000000003</v>
      </c>
    </row>
    <row r="117" spans="1:7" x14ac:dyDescent="0.35">
      <c r="A117">
        <v>4.5</v>
      </c>
      <c r="B117">
        <v>8</v>
      </c>
      <c r="E117">
        <v>0.76</v>
      </c>
      <c r="F117">
        <v>0.75800000000000001</v>
      </c>
      <c r="G117">
        <v>0.76200000000000001</v>
      </c>
    </row>
    <row r="118" spans="1:7" x14ac:dyDescent="0.35">
      <c r="A118">
        <v>4.5</v>
      </c>
      <c r="B118">
        <v>7.5</v>
      </c>
      <c r="E118">
        <v>0.69199999999999995</v>
      </c>
      <c r="F118">
        <v>0.66800000000000004</v>
      </c>
      <c r="G118">
        <v>0.70199999999999996</v>
      </c>
    </row>
    <row r="119" spans="1:7" x14ac:dyDescent="0.35">
      <c r="A119">
        <v>4.5</v>
      </c>
      <c r="B119">
        <v>7</v>
      </c>
      <c r="E119">
        <v>0.45200000000000001</v>
      </c>
      <c r="F119">
        <v>0.433</v>
      </c>
      <c r="G119">
        <v>0.46899999999999997</v>
      </c>
    </row>
    <row r="120" spans="1:7" x14ac:dyDescent="0.35">
      <c r="A120">
        <v>4.5</v>
      </c>
      <c r="B120">
        <v>6.5</v>
      </c>
      <c r="E120">
        <v>0.25900000000000001</v>
      </c>
      <c r="F120">
        <v>0.24099999999999999</v>
      </c>
      <c r="G120">
        <v>0.27</v>
      </c>
    </row>
    <row r="121" spans="1:7" x14ac:dyDescent="0.35">
      <c r="A121">
        <v>4.5</v>
      </c>
      <c r="B121">
        <v>6</v>
      </c>
      <c r="E121">
        <v>0.121</v>
      </c>
      <c r="F121">
        <v>0.107</v>
      </c>
      <c r="G121">
        <v>0.13</v>
      </c>
    </row>
    <row r="122" spans="1:7" x14ac:dyDescent="0.35">
      <c r="A122">
        <v>4.5</v>
      </c>
      <c r="B122">
        <v>5.5</v>
      </c>
      <c r="E122">
        <v>5.6000000000000001E-2</v>
      </c>
      <c r="F122">
        <v>4.3999999999999997E-2</v>
      </c>
      <c r="G122">
        <v>6.3E-2</v>
      </c>
    </row>
    <row r="123" spans="1:7" x14ac:dyDescent="0.35">
      <c r="A123">
        <v>4.5</v>
      </c>
      <c r="B123">
        <v>5</v>
      </c>
      <c r="E123">
        <v>2.7E-2</v>
      </c>
      <c r="F123">
        <v>2.3E-2</v>
      </c>
      <c r="G123">
        <v>3.2000000000000001E-2</v>
      </c>
    </row>
    <row r="124" spans="1:7" x14ac:dyDescent="0.35">
      <c r="A124">
        <v>4.5</v>
      </c>
      <c r="B124">
        <v>4.5</v>
      </c>
      <c r="E124">
        <v>6.6000000000000003E-2</v>
      </c>
      <c r="F124">
        <v>5.8000000000000003E-2</v>
      </c>
      <c r="G124">
        <v>7.0000000000000007E-2</v>
      </c>
    </row>
    <row r="125" spans="1:7" x14ac:dyDescent="0.35">
      <c r="A125">
        <v>4.5</v>
      </c>
      <c r="B125">
        <v>4</v>
      </c>
      <c r="E125">
        <v>0.39600000000000002</v>
      </c>
      <c r="F125">
        <v>0.39200000000000002</v>
      </c>
      <c r="G125">
        <v>0.40300000000000002</v>
      </c>
    </row>
    <row r="126" spans="1:7" x14ac:dyDescent="0.35">
      <c r="A126">
        <v>4.5</v>
      </c>
      <c r="B126">
        <v>3.5</v>
      </c>
      <c r="E126">
        <v>0.40400000000000003</v>
      </c>
      <c r="F126">
        <v>0.39300000000000002</v>
      </c>
      <c r="G126">
        <v>0.41099999999999998</v>
      </c>
    </row>
    <row r="127" spans="1:7" x14ac:dyDescent="0.35">
      <c r="A127">
        <v>4.5</v>
      </c>
      <c r="B127">
        <v>3</v>
      </c>
      <c r="E127">
        <v>0.41699999999999998</v>
      </c>
      <c r="F127">
        <v>0.41599999999999998</v>
      </c>
      <c r="G127">
        <v>0.42</v>
      </c>
    </row>
    <row r="128" spans="1:7" x14ac:dyDescent="0.35">
      <c r="A128">
        <v>4.5</v>
      </c>
      <c r="B128">
        <v>2.5</v>
      </c>
      <c r="E128">
        <v>0.36499999999999999</v>
      </c>
      <c r="F128">
        <v>0.35899999999999999</v>
      </c>
      <c r="G128">
        <v>0.36599999999999999</v>
      </c>
    </row>
    <row r="129" spans="1:7" x14ac:dyDescent="0.35">
      <c r="A129">
        <v>4.5</v>
      </c>
      <c r="B129">
        <v>2</v>
      </c>
      <c r="E129">
        <v>0.313</v>
      </c>
      <c r="F129">
        <v>0.308</v>
      </c>
      <c r="G129">
        <v>0.32</v>
      </c>
    </row>
    <row r="130" spans="1:7" x14ac:dyDescent="0.35">
      <c r="A130">
        <v>4.5</v>
      </c>
      <c r="B130">
        <v>1.5</v>
      </c>
      <c r="E130">
        <v>0.218</v>
      </c>
      <c r="F130">
        <v>0.21099999999999999</v>
      </c>
      <c r="G130">
        <v>0.222</v>
      </c>
    </row>
    <row r="131" spans="1:7" x14ac:dyDescent="0.35">
      <c r="A131">
        <v>4.5</v>
      </c>
      <c r="B131">
        <v>1</v>
      </c>
      <c r="E131">
        <v>0.161</v>
      </c>
      <c r="F131">
        <v>0.158</v>
      </c>
      <c r="G131">
        <v>0.16500000000000001</v>
      </c>
    </row>
    <row r="132" spans="1:7" x14ac:dyDescent="0.35">
      <c r="A132">
        <v>4.5</v>
      </c>
      <c r="B132">
        <v>0.5</v>
      </c>
      <c r="E132">
        <v>0.153</v>
      </c>
      <c r="F132">
        <v>0.14099999999999999</v>
      </c>
      <c r="G132">
        <v>0.158</v>
      </c>
    </row>
    <row r="133" spans="1:7" x14ac:dyDescent="0.35">
      <c r="A133">
        <v>4.5</v>
      </c>
      <c r="B133">
        <v>0</v>
      </c>
      <c r="E133">
        <v>8.6999999999999994E-2</v>
      </c>
      <c r="F133">
        <v>8.5999999999999993E-2</v>
      </c>
      <c r="G133">
        <v>9.0999999999999998E-2</v>
      </c>
    </row>
    <row r="134" spans="1:7" x14ac:dyDescent="0.35">
      <c r="A134">
        <v>4.5</v>
      </c>
      <c r="B134">
        <v>-0.5</v>
      </c>
      <c r="E134">
        <v>5.8000000000000003E-2</v>
      </c>
      <c r="F134">
        <v>5.7000000000000002E-2</v>
      </c>
      <c r="G134">
        <v>0.06</v>
      </c>
    </row>
    <row r="135" spans="1:7" x14ac:dyDescent="0.35">
      <c r="A135">
        <v>4.5</v>
      </c>
      <c r="B135">
        <v>-1</v>
      </c>
      <c r="E135">
        <v>5.3999999999999999E-2</v>
      </c>
      <c r="F135">
        <v>5.3999999999999999E-2</v>
      </c>
      <c r="G135">
        <v>5.5E-2</v>
      </c>
    </row>
    <row r="136" spans="1:7" x14ac:dyDescent="0.35">
      <c r="A136">
        <v>4.5</v>
      </c>
      <c r="B136">
        <v>-1.5</v>
      </c>
      <c r="E136">
        <v>5.2999999999999999E-2</v>
      </c>
      <c r="F136">
        <v>5.2999999999999999E-2</v>
      </c>
      <c r="G136">
        <v>5.3999999999999999E-2</v>
      </c>
    </row>
    <row r="137" spans="1:7" x14ac:dyDescent="0.35">
      <c r="A137">
        <v>4.5</v>
      </c>
      <c r="B137">
        <v>-2</v>
      </c>
      <c r="E137">
        <v>4.2999999999999997E-2</v>
      </c>
      <c r="F137">
        <v>4.2999999999999997E-2</v>
      </c>
      <c r="G137">
        <v>4.3999999999999997E-2</v>
      </c>
    </row>
    <row r="138" spans="1:7" x14ac:dyDescent="0.35">
      <c r="A138">
        <v>4.5</v>
      </c>
      <c r="B138">
        <v>-2.5</v>
      </c>
      <c r="E138">
        <v>4.2999999999999997E-2</v>
      </c>
      <c r="F138">
        <v>4.2999999999999997E-2</v>
      </c>
      <c r="G138">
        <v>4.3999999999999997E-2</v>
      </c>
    </row>
    <row r="139" spans="1:7" x14ac:dyDescent="0.35">
      <c r="A139">
        <v>4.5</v>
      </c>
      <c r="B139">
        <v>-3</v>
      </c>
      <c r="E139">
        <v>4.2000000000000003E-2</v>
      </c>
      <c r="F139">
        <v>4.2000000000000003E-2</v>
      </c>
      <c r="G139">
        <v>4.2999999999999997E-2</v>
      </c>
    </row>
    <row r="140" spans="1:7" x14ac:dyDescent="0.35">
      <c r="A140">
        <v>4.5</v>
      </c>
      <c r="B140">
        <v>-3.5</v>
      </c>
      <c r="E140">
        <v>3.7999999999999999E-2</v>
      </c>
    </row>
    <row r="141" spans="1:7" x14ac:dyDescent="0.35">
      <c r="A141">
        <v>4.5</v>
      </c>
      <c r="B141">
        <v>-4</v>
      </c>
      <c r="E141">
        <v>3.3000000000000002E-2</v>
      </c>
    </row>
    <row r="142" spans="1:7" x14ac:dyDescent="0.35">
      <c r="A142">
        <v>4.5</v>
      </c>
      <c r="B142">
        <v>-4.5</v>
      </c>
      <c r="E142">
        <v>3.1E-2</v>
      </c>
    </row>
    <row r="143" spans="1:7" x14ac:dyDescent="0.35">
      <c r="A143">
        <v>4.5</v>
      </c>
      <c r="B143">
        <v>-5</v>
      </c>
      <c r="E143">
        <v>2.8000000000000001E-2</v>
      </c>
    </row>
    <row r="144" spans="1:7" x14ac:dyDescent="0.35">
      <c r="A144">
        <v>4.5</v>
      </c>
      <c r="B144">
        <v>-4.5</v>
      </c>
      <c r="E144">
        <v>3.9E-2</v>
      </c>
    </row>
    <row r="145" spans="1:7" x14ac:dyDescent="0.35">
      <c r="A145">
        <v>4.5</v>
      </c>
      <c r="B145">
        <v>-4</v>
      </c>
      <c r="E145">
        <v>0.04</v>
      </c>
    </row>
    <row r="146" spans="1:7" x14ac:dyDescent="0.35">
      <c r="A146">
        <v>4.5</v>
      </c>
      <c r="B146">
        <v>-3.5</v>
      </c>
      <c r="E146">
        <v>4.2000000000000003E-2</v>
      </c>
    </row>
    <row r="147" spans="1:7" x14ac:dyDescent="0.35">
      <c r="A147">
        <v>4.5</v>
      </c>
      <c r="B147">
        <v>-3</v>
      </c>
      <c r="E147">
        <v>4.2999999999999997E-2</v>
      </c>
    </row>
    <row r="148" spans="1:7" x14ac:dyDescent="0.35">
      <c r="A148">
        <v>4.5</v>
      </c>
      <c r="B148">
        <v>-2.5</v>
      </c>
      <c r="E148">
        <v>4.3999999999999997E-2</v>
      </c>
    </row>
    <row r="149" spans="1:7" x14ac:dyDescent="0.35">
      <c r="A149">
        <v>4.5</v>
      </c>
      <c r="B149">
        <v>-2</v>
      </c>
      <c r="E149">
        <v>4.3999999999999997E-2</v>
      </c>
      <c r="F149">
        <v>4.3999999999999997E-2</v>
      </c>
      <c r="G149">
        <v>4.4999999999999998E-2</v>
      </c>
    </row>
    <row r="150" spans="1:7" x14ac:dyDescent="0.35">
      <c r="A150">
        <v>4.5</v>
      </c>
      <c r="B150">
        <v>-1.5</v>
      </c>
      <c r="E150">
        <v>4.9000000000000002E-2</v>
      </c>
      <c r="F150">
        <v>4.9000000000000002E-2</v>
      </c>
      <c r="G150">
        <v>0.05</v>
      </c>
    </row>
    <row r="151" spans="1:7" x14ac:dyDescent="0.35">
      <c r="A151">
        <v>4.5</v>
      </c>
      <c r="B151">
        <v>-1</v>
      </c>
      <c r="E151">
        <v>6.0999999999999999E-2</v>
      </c>
      <c r="F151">
        <v>0.06</v>
      </c>
      <c r="G151">
        <v>6.2E-2</v>
      </c>
    </row>
    <row r="152" spans="1:7" x14ac:dyDescent="0.35">
      <c r="A152">
        <v>4.5</v>
      </c>
      <c r="B152">
        <v>-0.5</v>
      </c>
      <c r="E152">
        <v>9.4E-2</v>
      </c>
      <c r="F152">
        <v>8.8999999999999996E-2</v>
      </c>
      <c r="G152">
        <v>9.6000000000000002E-2</v>
      </c>
    </row>
    <row r="153" spans="1:7" x14ac:dyDescent="0.35">
      <c r="A153">
        <v>4.5</v>
      </c>
      <c r="B153">
        <v>0</v>
      </c>
      <c r="E153">
        <v>0.13200000000000001</v>
      </c>
      <c r="F153">
        <v>0.128</v>
      </c>
      <c r="G153">
        <v>0.13600000000000001</v>
      </c>
    </row>
    <row r="154" spans="1:7" x14ac:dyDescent="0.35">
      <c r="A154">
        <v>4.5</v>
      </c>
      <c r="B154">
        <v>0.5</v>
      </c>
      <c r="E154">
        <v>0.17599999999999999</v>
      </c>
      <c r="F154">
        <v>0.17100000000000001</v>
      </c>
      <c r="G154">
        <v>0.17899999999999999</v>
      </c>
    </row>
    <row r="155" spans="1:7" x14ac:dyDescent="0.35">
      <c r="A155">
        <v>4.5</v>
      </c>
      <c r="B155">
        <v>1</v>
      </c>
      <c r="E155">
        <v>0.23499999999999999</v>
      </c>
      <c r="F155">
        <v>0.23100000000000001</v>
      </c>
      <c r="G155">
        <v>0.245</v>
      </c>
    </row>
    <row r="156" spans="1:7" x14ac:dyDescent="0.35">
      <c r="A156">
        <v>4.5</v>
      </c>
      <c r="B156">
        <v>1.5</v>
      </c>
      <c r="E156">
        <v>0.28199999999999997</v>
      </c>
      <c r="F156">
        <v>0.27500000000000002</v>
      </c>
      <c r="G156">
        <v>0.28999999999999998</v>
      </c>
    </row>
    <row r="157" spans="1:7" x14ac:dyDescent="0.35">
      <c r="A157">
        <v>4.5</v>
      </c>
      <c r="B157">
        <v>2</v>
      </c>
      <c r="E157">
        <v>0.33600000000000002</v>
      </c>
      <c r="F157">
        <v>0.32800000000000001</v>
      </c>
      <c r="G157">
        <v>0.34</v>
      </c>
    </row>
    <row r="158" spans="1:7" x14ac:dyDescent="0.35">
      <c r="A158">
        <v>4.5</v>
      </c>
      <c r="B158">
        <v>2.5</v>
      </c>
      <c r="E158">
        <v>0.39600000000000002</v>
      </c>
      <c r="F158">
        <v>0.39300000000000002</v>
      </c>
      <c r="G158">
        <v>0.40100000000000002</v>
      </c>
    </row>
    <row r="159" spans="1:7" x14ac:dyDescent="0.35">
      <c r="A159">
        <v>4.5</v>
      </c>
      <c r="B159">
        <v>3</v>
      </c>
      <c r="E159">
        <v>0.373</v>
      </c>
      <c r="F159">
        <v>0.36499999999999999</v>
      </c>
      <c r="G159">
        <v>0.38</v>
      </c>
    </row>
    <row r="160" spans="1:7" x14ac:dyDescent="0.35">
      <c r="A160">
        <v>4.5</v>
      </c>
      <c r="B160">
        <v>3.5</v>
      </c>
      <c r="E160">
        <v>0.33</v>
      </c>
      <c r="F160">
        <v>0.32700000000000001</v>
      </c>
      <c r="G160">
        <v>0.33500000000000002</v>
      </c>
    </row>
    <row r="161" spans="1:7" x14ac:dyDescent="0.35">
      <c r="A161">
        <v>4.5</v>
      </c>
      <c r="B161">
        <v>4</v>
      </c>
      <c r="E161">
        <v>0.26100000000000001</v>
      </c>
      <c r="F161">
        <v>0.254</v>
      </c>
      <c r="G161">
        <v>0.26900000000000002</v>
      </c>
    </row>
    <row r="162" spans="1:7" x14ac:dyDescent="0.35">
      <c r="A162">
        <v>4.5</v>
      </c>
      <c r="B162">
        <v>4.5</v>
      </c>
      <c r="E162">
        <v>0.16900000000000001</v>
      </c>
      <c r="F162">
        <v>0.151</v>
      </c>
      <c r="G162">
        <v>0.17399999999999999</v>
      </c>
    </row>
    <row r="163" spans="1:7" x14ac:dyDescent="0.35">
      <c r="A163">
        <v>4.5</v>
      </c>
      <c r="B163">
        <v>5</v>
      </c>
      <c r="E163">
        <v>2.8000000000000001E-2</v>
      </c>
      <c r="F163">
        <v>2.4E-2</v>
      </c>
      <c r="G163">
        <v>3.5000000000000003E-2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Moving vortex</vt:lpstr>
      <vt:lpstr>Moving input fiber, +x, Echev</vt:lpstr>
      <vt:lpstr>Moving input fiber, +x</vt:lpstr>
      <vt:lpstr>Moving input fiber, -x, Echev</vt:lpstr>
      <vt:lpstr>Moving input fiber, -x</vt:lpstr>
      <vt:lpstr>Moving input fiber, +y</vt:lpstr>
      <vt:lpstr>Moving input fiber, -y</vt:lpstr>
      <vt:lpstr>Moving input fiber, x</vt:lpstr>
      <vt:lpstr>Moving input fiber, 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 Asnodkar, Anusha J.</dc:creator>
  <cp:lastModifiedBy>Pai Asnodkar, Anusha J.</cp:lastModifiedBy>
  <dcterms:created xsi:type="dcterms:W3CDTF">2022-03-02T18:33:07Z</dcterms:created>
  <dcterms:modified xsi:type="dcterms:W3CDTF">2022-04-29T15:40:17Z</dcterms:modified>
</cp:coreProperties>
</file>