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asnodkar.1\GSpec\"/>
    </mc:Choice>
  </mc:AlternateContent>
  <xr:revisionPtr revIDLastSave="0" documentId="13_ncr:1_{50A58281-A809-456B-A7B0-2D5685A45A02}" xr6:coauthVersionLast="47" xr6:coauthVersionMax="47" xr10:uidLastSave="{00000000-0000-0000-0000-000000000000}"/>
  <bookViews>
    <workbookView xWindow="-110" yWindow="-110" windowWidth="19420" windowHeight="10420" xr2:uid="{D11EE3EB-C0B3-4FD6-848F-2A4270DDF73A}"/>
  </bookViews>
  <sheets>
    <sheet name="Main Components" sheetId="1" r:id="rId1"/>
    <sheet name="Auxiliary Mater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  <c r="F106" i="1"/>
  <c r="F105" i="1"/>
  <c r="F104" i="1"/>
  <c r="F103" i="1"/>
  <c r="F102" i="1"/>
  <c r="F101" i="1"/>
  <c r="F100" i="1"/>
  <c r="F99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69" i="1"/>
  <c r="F68" i="1"/>
  <c r="F67" i="1"/>
  <c r="F66" i="1"/>
  <c r="F65" i="1"/>
  <c r="F64" i="1"/>
  <c r="F63" i="1"/>
  <c r="F62" i="1"/>
  <c r="F61" i="1"/>
  <c r="F56" i="1"/>
  <c r="F55" i="1"/>
  <c r="F54" i="1"/>
  <c r="F53" i="1"/>
  <c r="F52" i="1"/>
  <c r="F51" i="1"/>
  <c r="F45" i="1"/>
  <c r="F44" i="1"/>
  <c r="F43" i="1"/>
  <c r="F42" i="1"/>
  <c r="F41" i="1"/>
  <c r="F40" i="1"/>
  <c r="F34" i="1"/>
  <c r="F33" i="1"/>
  <c r="F32" i="1"/>
  <c r="F31" i="1"/>
  <c r="F30" i="1"/>
  <c r="F29" i="1"/>
  <c r="F23" i="1"/>
  <c r="F22" i="1"/>
  <c r="F21" i="1"/>
  <c r="F20" i="1"/>
  <c r="F19" i="1"/>
  <c r="F18" i="1"/>
  <c r="F10" i="1"/>
  <c r="F9" i="1"/>
  <c r="F8" i="1"/>
  <c r="F7" i="1"/>
  <c r="F6" i="1"/>
  <c r="F5" i="1"/>
  <c r="F4" i="1"/>
  <c r="F57" i="1" l="1"/>
  <c r="F25" i="1"/>
  <c r="F36" i="1"/>
  <c r="F14" i="1"/>
  <c r="F47" i="1"/>
  <c r="F107" i="1"/>
  <c r="F95" i="1"/>
  <c r="F71" i="1"/>
  <c r="F1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<sst xmlns="http://schemas.openxmlformats.org/spreadsheetml/2006/main" count="393" uniqueCount="177">
  <si>
    <t>Sub-Assembly/Part</t>
  </si>
  <si>
    <t>Company</t>
  </si>
  <si>
    <t>Part Number</t>
  </si>
  <si>
    <t>Unit Cost</t>
  </si>
  <si>
    <t>Quantity</t>
  </si>
  <si>
    <t>Total Item</t>
  </si>
  <si>
    <t>Notes</t>
  </si>
  <si>
    <t>Beam Injection</t>
  </si>
  <si>
    <t>Collimating OAP</t>
  </si>
  <si>
    <t>Edmund</t>
  </si>
  <si>
    <t>35-538</t>
  </si>
  <si>
    <t>OAP Mount Plate</t>
  </si>
  <si>
    <t>47-111</t>
  </si>
  <si>
    <t>OAP Kinematic Rotation Mount</t>
  </si>
  <si>
    <t>Thor</t>
  </si>
  <si>
    <t>KS2RS</t>
  </si>
  <si>
    <t>Fiber-coupled Laser</t>
  </si>
  <si>
    <t>S1FC635PM</t>
  </si>
  <si>
    <t>PANDA FC/PC Fiber Patch Cable</t>
  </si>
  <si>
    <t>P1-630PM-FC-2</t>
  </si>
  <si>
    <t>5-Axis Alignment Stage</t>
  </si>
  <si>
    <t>MBT501/MBT401D</t>
  </si>
  <si>
    <t>Connectorized Fiber Holder</t>
  </si>
  <si>
    <t>HFB004</t>
  </si>
  <si>
    <t>Custom Mount Block</t>
  </si>
  <si>
    <t>OSU Shop</t>
  </si>
  <si>
    <t>Sub Total</t>
  </si>
  <si>
    <t>Wavefront Control</t>
  </si>
  <si>
    <t>MEMS Deformable Mirror</t>
  </si>
  <si>
    <t>DM140A-35-UP01</t>
  </si>
  <si>
    <t>MEMS Translation Stage</t>
  </si>
  <si>
    <t>MT1</t>
  </si>
  <si>
    <t>MEMS Rotation Stage</t>
  </si>
  <si>
    <t>RP005</t>
  </si>
  <si>
    <t>Pillar Post Holder</t>
  </si>
  <si>
    <t>RSHT1.5</t>
  </si>
  <si>
    <t>Pillar Post</t>
  </si>
  <si>
    <t>RS1.5P8</t>
  </si>
  <si>
    <t>Kinematic Mount</t>
  </si>
  <si>
    <t>KS2</t>
  </si>
  <si>
    <t>Beamsplitter</t>
  </si>
  <si>
    <t>Beamsplitter Optic</t>
  </si>
  <si>
    <t>BSW25</t>
  </si>
  <si>
    <t>Beamsplitter Mount</t>
  </si>
  <si>
    <t>Polaris B05S</t>
  </si>
  <si>
    <t>Beamsplitter Rotation Stage</t>
  </si>
  <si>
    <t>Beamsplitter Translation Stage</t>
  </si>
  <si>
    <t>T12X</t>
  </si>
  <si>
    <t>Optical Post Holder</t>
  </si>
  <si>
    <t>PH2</t>
  </si>
  <si>
    <t>Optical Post</t>
  </si>
  <si>
    <t>TR2</t>
  </si>
  <si>
    <t>Path 1 Fold Mirror</t>
  </si>
  <si>
    <t>Fold Mirror</t>
  </si>
  <si>
    <t>PF05-03-G01</t>
  </si>
  <si>
    <t>Fold Mirror Tip/Tilt Mount</t>
  </si>
  <si>
    <t>MK05</t>
  </si>
  <si>
    <t>Fold Mirror Translation Stage</t>
  </si>
  <si>
    <t>Fold Mirror Rotation Stage</t>
  </si>
  <si>
    <t>Optical Trombone</t>
  </si>
  <si>
    <t>CCR</t>
  </si>
  <si>
    <t>PLX</t>
  </si>
  <si>
    <t>HM-10</t>
  </si>
  <si>
    <t>CCR Rotation Mount</t>
  </si>
  <si>
    <t>CT104</t>
  </si>
  <si>
    <t>CCR Mount Top Plate</t>
  </si>
  <si>
    <t>MS103</t>
  </si>
  <si>
    <t>Adjustable Platform</t>
  </si>
  <si>
    <t>C1519</t>
  </si>
  <si>
    <t>P3</t>
  </si>
  <si>
    <t>Post Spacer</t>
  </si>
  <si>
    <t>PS15M</t>
  </si>
  <si>
    <t>Path 2 Fold Mirrors</t>
  </si>
  <si>
    <t>Translation Stages</t>
  </si>
  <si>
    <t>Right Angle Prism Mirror</t>
  </si>
  <si>
    <t>89-624</t>
  </si>
  <si>
    <t>Right Angle Prism Mirror Platform</t>
  </si>
  <si>
    <t>FBTB</t>
  </si>
  <si>
    <t>FM/RAPM Optical Post Holder</t>
  </si>
  <si>
    <t>FM/RAPM Optical Post</t>
  </si>
  <si>
    <t>RAPM Optical Post Holder</t>
  </si>
  <si>
    <t>PH3</t>
  </si>
  <si>
    <t>RAPM Custom Slide Plate</t>
  </si>
  <si>
    <t>Vortex Sub-Assembly</t>
  </si>
  <si>
    <t>m=1 Vortex Plate</t>
  </si>
  <si>
    <t>WPV10L-633</t>
  </si>
  <si>
    <t>m=2 Vortex Plate</t>
  </si>
  <si>
    <t>WPV10-633</t>
  </si>
  <si>
    <t>X/Y Adjustable Mount</t>
  </si>
  <si>
    <t>ST1XY-A</t>
  </si>
  <si>
    <t>Aspheric Focus element</t>
  </si>
  <si>
    <t>85-301</t>
  </si>
  <si>
    <t>Focus Element Lens Tube</t>
  </si>
  <si>
    <t>SM1L10</t>
  </si>
  <si>
    <t>Focus Z-Translation</t>
  </si>
  <si>
    <t>SM1Z</t>
  </si>
  <si>
    <t>RSHT3</t>
  </si>
  <si>
    <t>RS3P8</t>
  </si>
  <si>
    <t>Fiber Adapter</t>
  </si>
  <si>
    <t>SM05FC</t>
  </si>
  <si>
    <t>Cage Assembly Rods</t>
  </si>
  <si>
    <t>ER6</t>
  </si>
  <si>
    <t>Rod Adapters</t>
  </si>
  <si>
    <t>ERSCB</t>
  </si>
  <si>
    <t>Fiber Translation Stage</t>
  </si>
  <si>
    <t>CXYZ05</t>
  </si>
  <si>
    <t>Platform Translation Stage</t>
  </si>
  <si>
    <t>TBB0606</t>
  </si>
  <si>
    <t>Rotation Translation Stage</t>
  </si>
  <si>
    <t>XRNR1</t>
  </si>
  <si>
    <t>Cage Mounting Bracket</t>
  </si>
  <si>
    <t>CP02B</t>
  </si>
  <si>
    <t>Fiber-Coupled Detector</t>
  </si>
  <si>
    <t>DET02AFC</t>
  </si>
  <si>
    <t>Fringe Asphere</t>
  </si>
  <si>
    <t>49-665</t>
  </si>
  <si>
    <t>Analysis Equipment &amp; Bench Accessories</t>
  </si>
  <si>
    <t>Hex Key Adjusters</t>
  </si>
  <si>
    <t>HKTS-5/64</t>
  </si>
  <si>
    <t>0.5" Spanner Bit</t>
  </si>
  <si>
    <t>SPB05</t>
  </si>
  <si>
    <t>1" Spanner Bit</t>
  </si>
  <si>
    <t>SPB1</t>
  </si>
  <si>
    <t>2" Spanner Bit</t>
  </si>
  <si>
    <t>SPB2</t>
  </si>
  <si>
    <t>CCD Mount Adapter</t>
  </si>
  <si>
    <t>SM1A9</t>
  </si>
  <si>
    <t>CCD Cage Plate</t>
  </si>
  <si>
    <t>CP33</t>
  </si>
  <si>
    <t>CCD Camera</t>
  </si>
  <si>
    <t>DCU223M</t>
  </si>
  <si>
    <t>Wavefront Sensor</t>
  </si>
  <si>
    <t>WFS40-7AR</t>
  </si>
  <si>
    <t>Equipment Total</t>
  </si>
  <si>
    <t>Labor</t>
  </si>
  <si>
    <t>OSU Shop Time</t>
  </si>
  <si>
    <t>40 Hours</t>
  </si>
  <si>
    <t>Alignment template &amp; adapter blocks</t>
  </si>
  <si>
    <t>Lab Technician</t>
  </si>
  <si>
    <t>Moved? Yes/No</t>
  </si>
  <si>
    <t>Yes</t>
  </si>
  <si>
    <t>No</t>
  </si>
  <si>
    <t>I assume this is referring to the large custom breadboard that the entire experiment is upon</t>
  </si>
  <si>
    <t>Product tag: 17BW007#083</t>
  </si>
  <si>
    <t>Reduced quantity from 2 to 1</t>
  </si>
  <si>
    <t>We only brought one down and I believe it is m=1 based on my memory of a conversation with Colby but I'm not certain.</t>
  </si>
  <si>
    <t>Miscellaneous (added by Anusha)</t>
  </si>
  <si>
    <t>Antistatic wrist strap</t>
  </si>
  <si>
    <t>Power meter</t>
  </si>
  <si>
    <t>S120C</t>
  </si>
  <si>
    <t>Power meter interface</t>
  </si>
  <si>
    <t>PM 101</t>
  </si>
  <si>
    <t>Oscilloscope</t>
  </si>
  <si>
    <t>TDS 2012</t>
  </si>
  <si>
    <t>Tektronix</t>
  </si>
  <si>
    <t>Enclosure</t>
  </si>
  <si>
    <t>Laptop</t>
  </si>
  <si>
    <t>Dell</t>
  </si>
  <si>
    <t>Service tag: DKXK662</t>
  </si>
  <si>
    <t>ID25</t>
  </si>
  <si>
    <t>Mounted iris</t>
  </si>
  <si>
    <t>I added this</t>
  </si>
  <si>
    <t xml:space="preserve">Not sure which custom mount block this is referring to. However, we did bring down a spare custom mount block (square less than 1 sq. in. with 5 holes) but it currently isn't integrated with the setup. </t>
  </si>
  <si>
    <t>Custom posts for beam alignment</t>
  </si>
  <si>
    <t>Post holders for iris</t>
  </si>
  <si>
    <t>Returned? Yes/No</t>
  </si>
  <si>
    <t>Flat window optic, 25 mm</t>
  </si>
  <si>
    <t>39-273</t>
  </si>
  <si>
    <t>Window optic mount</t>
  </si>
  <si>
    <t>Post + post holder</t>
  </si>
  <si>
    <t>Cage alignment plate</t>
  </si>
  <si>
    <t>CPA1</t>
  </si>
  <si>
    <t>Blue masking tape</t>
  </si>
  <si>
    <t>Some spacer bois (idk what these are, they look custom made)</t>
  </si>
  <si>
    <t>Screws</t>
  </si>
  <si>
    <t>Scissors</t>
  </si>
  <si>
    <t>In GSpec cabinet in student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</si>
</sst>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333333"/>
      <name val="Heebo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1" fillId="0" borderId="0" xfId="0" applyFont="1" applyAlignment="1">
      <alignment vertical="top"/>
    </xf>
    <xf numFmtId="2" fontId="2" fillId="2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8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</xdr:colOff>
      <xdr:row>114</xdr:row>
      <xdr:rowOff>12700</xdr:rowOff>
    </xdr:from>
    <xdr:to>
      <xdr:col>7</xdr:col>
      <xdr:colOff>2391834</xdr:colOff>
      <xdr:row>114</xdr:row>
      <xdr:rowOff>1801813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9A56C-0F7F-4E30-9AB4-FFBE4285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21926550"/>
          <a:ext cx="2385484" cy="1789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E965-1C38-495E-806E-B36A66B57FD2}">
  <dimension ref="A1:H125"/>
  <sheetViews>
    <sheetView tabSelected="1" topLeftCell="A79" zoomScale="115" zoomScaleNormal="115" workbookViewId="0">
      <selection activeCell="H95" sqref="H95"/>
    </sheetView>
  </sheetViews>
  <sheetFormatPr defaultRowHeight="14.5" x14ac:dyDescent="0.35"/>
  <cols>
    <col min="1" max="1" width="38.1796875" style="5" bestFit="1" customWidth="1"/>
    <col min="2" max="2" width="14.54296875" style="5" bestFit="1" customWidth="1"/>
    <col min="3" max="3" width="16.54296875" style="5" bestFit="1" customWidth="1"/>
    <col min="4" max="4" width="8.54296875" style="5" bestFit="1" customWidth="1"/>
    <col min="5" max="5" width="8.1796875" style="5" bestFit="1" customWidth="1"/>
    <col min="6" max="6" width="9.453125" style="5" bestFit="1" customWidth="1"/>
    <col min="7" max="7" width="14.453125" style="5" customWidth="1"/>
    <col min="8" max="8" width="34.36328125" style="1" customWidth="1"/>
    <col min="9" max="16384" width="8.7265625" style="5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139</v>
      </c>
      <c r="H1" s="4" t="s">
        <v>6</v>
      </c>
    </row>
    <row r="2" spans="1:8" s="3" customFormat="1" x14ac:dyDescent="0.35">
      <c r="H2" s="4"/>
    </row>
    <row r="3" spans="1:8" x14ac:dyDescent="0.35">
      <c r="A3" s="3" t="s">
        <v>7</v>
      </c>
    </row>
    <row r="4" spans="1:8" x14ac:dyDescent="0.35">
      <c r="A4" s="5" t="s">
        <v>8</v>
      </c>
      <c r="B4" s="5" t="s">
        <v>9</v>
      </c>
      <c r="C4" s="5" t="s">
        <v>10</v>
      </c>
      <c r="D4" s="6">
        <v>215</v>
      </c>
      <c r="E4" s="5">
        <v>1</v>
      </c>
      <c r="F4" s="5">
        <f>D4*E4</f>
        <v>215</v>
      </c>
      <c r="G4" s="5" t="s">
        <v>140</v>
      </c>
    </row>
    <row r="5" spans="1:8" x14ac:dyDescent="0.35">
      <c r="A5" s="5" t="s">
        <v>11</v>
      </c>
      <c r="B5" s="5" t="s">
        <v>9</v>
      </c>
      <c r="C5" s="5" t="s">
        <v>12</v>
      </c>
      <c r="D5" s="6">
        <v>100</v>
      </c>
      <c r="E5" s="5">
        <v>1</v>
      </c>
      <c r="F5" s="5">
        <f>D5*E5</f>
        <v>100</v>
      </c>
      <c r="G5" s="5" t="s">
        <v>140</v>
      </c>
    </row>
    <row r="6" spans="1:8" x14ac:dyDescent="0.35">
      <c r="A6" s="5" t="s">
        <v>13</v>
      </c>
      <c r="B6" s="5" t="s">
        <v>14</v>
      </c>
      <c r="C6" s="5" t="s">
        <v>15</v>
      </c>
      <c r="D6" s="5">
        <v>298.11</v>
      </c>
      <c r="E6" s="5">
        <v>1</v>
      </c>
      <c r="F6" s="5">
        <f>D6*E6</f>
        <v>298.11</v>
      </c>
      <c r="G6" s="5" t="s">
        <v>140</v>
      </c>
    </row>
    <row r="7" spans="1:8" x14ac:dyDescent="0.35">
      <c r="A7" s="5" t="s">
        <v>16</v>
      </c>
      <c r="B7" s="5" t="s">
        <v>14</v>
      </c>
      <c r="C7" s="5" t="s">
        <v>17</v>
      </c>
      <c r="D7" s="5">
        <v>1793.07</v>
      </c>
      <c r="E7" s="5">
        <v>1</v>
      </c>
      <c r="F7" s="5">
        <f t="shared" ref="F7:F10" si="0">D7*E7</f>
        <v>1793.07</v>
      </c>
      <c r="G7" s="5" t="s">
        <v>140</v>
      </c>
    </row>
    <row r="8" spans="1:8" x14ac:dyDescent="0.35">
      <c r="A8" s="5" t="s">
        <v>18</v>
      </c>
      <c r="B8" s="5" t="s">
        <v>14</v>
      </c>
      <c r="C8" s="5" t="s">
        <v>19</v>
      </c>
      <c r="D8" s="5">
        <v>182.88</v>
      </c>
      <c r="E8" s="5">
        <v>1</v>
      </c>
      <c r="F8" s="5">
        <f t="shared" si="0"/>
        <v>182.88</v>
      </c>
      <c r="G8" s="5" t="s">
        <v>140</v>
      </c>
    </row>
    <row r="9" spans="1:8" x14ac:dyDescent="0.35">
      <c r="A9" s="5" t="s">
        <v>20</v>
      </c>
      <c r="B9" s="5" t="s">
        <v>14</v>
      </c>
      <c r="C9" s="5" t="s">
        <v>21</v>
      </c>
      <c r="D9" s="5">
        <v>3134.9</v>
      </c>
      <c r="E9" s="5">
        <v>1</v>
      </c>
      <c r="F9" s="5">
        <f t="shared" si="0"/>
        <v>3134.9</v>
      </c>
      <c r="G9" s="5" t="s">
        <v>140</v>
      </c>
    </row>
    <row r="10" spans="1:8" x14ac:dyDescent="0.35">
      <c r="A10" s="5" t="s">
        <v>22</v>
      </c>
      <c r="B10" s="5" t="s">
        <v>14</v>
      </c>
      <c r="C10" s="5" t="s">
        <v>23</v>
      </c>
      <c r="D10" s="5">
        <v>51.4</v>
      </c>
      <c r="E10" s="5">
        <v>1</v>
      </c>
      <c r="F10" s="5">
        <f t="shared" si="0"/>
        <v>51.4</v>
      </c>
      <c r="G10" s="5" t="s">
        <v>140</v>
      </c>
    </row>
    <row r="11" spans="1:8" ht="43.5" x14ac:dyDescent="0.35">
      <c r="A11" s="5" t="s">
        <v>24</v>
      </c>
      <c r="B11" s="5" t="s">
        <v>25</v>
      </c>
      <c r="E11" s="5">
        <v>1</v>
      </c>
      <c r="G11" s="5" t="s">
        <v>140</v>
      </c>
      <c r="H11" s="1" t="s">
        <v>142</v>
      </c>
    </row>
    <row r="12" spans="1:8" x14ac:dyDescent="0.35">
      <c r="A12" s="5" t="s">
        <v>160</v>
      </c>
      <c r="B12" s="5" t="s">
        <v>14</v>
      </c>
      <c r="C12" s="5" t="s">
        <v>159</v>
      </c>
      <c r="E12" s="5">
        <v>2</v>
      </c>
      <c r="G12" s="5" t="s">
        <v>140</v>
      </c>
      <c r="H12" s="1" t="s">
        <v>161</v>
      </c>
    </row>
    <row r="13" spans="1:8" x14ac:dyDescent="0.35">
      <c r="A13" s="5" t="s">
        <v>164</v>
      </c>
      <c r="E13" s="5">
        <v>2</v>
      </c>
      <c r="G13" s="5" t="s">
        <v>140</v>
      </c>
      <c r="H13" s="1" t="s">
        <v>161</v>
      </c>
    </row>
    <row r="14" spans="1:8" x14ac:dyDescent="0.35">
      <c r="A14" s="7" t="s">
        <v>26</v>
      </c>
      <c r="B14" s="8"/>
      <c r="C14" s="8"/>
      <c r="D14" s="8"/>
      <c r="E14" s="8"/>
      <c r="F14" s="7">
        <f>SUM(F4:F10)</f>
        <v>5775.36</v>
      </c>
    </row>
    <row r="17" spans="1:8" x14ac:dyDescent="0.35">
      <c r="A17" s="3" t="s">
        <v>27</v>
      </c>
    </row>
    <row r="18" spans="1:8" x14ac:dyDescent="0.35">
      <c r="A18" s="5" t="s">
        <v>28</v>
      </c>
      <c r="B18" s="5" t="s">
        <v>14</v>
      </c>
      <c r="C18" s="5" t="s">
        <v>29</v>
      </c>
      <c r="D18" s="5">
        <v>17900</v>
      </c>
      <c r="E18" s="5">
        <v>1</v>
      </c>
      <c r="F18" s="5">
        <f>D18*E18</f>
        <v>17900</v>
      </c>
      <c r="G18" s="5" t="s">
        <v>140</v>
      </c>
      <c r="H18" s="1" t="s">
        <v>143</v>
      </c>
    </row>
    <row r="19" spans="1:8" x14ac:dyDescent="0.35">
      <c r="A19" s="5" t="s">
        <v>30</v>
      </c>
      <c r="B19" s="5" t="s">
        <v>14</v>
      </c>
      <c r="C19" s="5" t="s">
        <v>31</v>
      </c>
      <c r="D19" s="5">
        <v>315.98</v>
      </c>
      <c r="E19" s="5">
        <v>1</v>
      </c>
      <c r="F19" s="5">
        <f t="shared" ref="F19:F23" si="1">D19*E19</f>
        <v>315.98</v>
      </c>
      <c r="G19" s="5" t="s">
        <v>140</v>
      </c>
    </row>
    <row r="20" spans="1:8" x14ac:dyDescent="0.35">
      <c r="A20" s="5" t="s">
        <v>32</v>
      </c>
      <c r="B20" s="5" t="s">
        <v>14</v>
      </c>
      <c r="C20" s="5" t="s">
        <v>33</v>
      </c>
      <c r="D20" s="5">
        <v>84.87</v>
      </c>
      <c r="E20" s="5">
        <v>1</v>
      </c>
      <c r="F20" s="5">
        <f t="shared" si="1"/>
        <v>84.87</v>
      </c>
      <c r="G20" s="5" t="s">
        <v>140</v>
      </c>
    </row>
    <row r="21" spans="1:8" x14ac:dyDescent="0.35">
      <c r="A21" s="5" t="s">
        <v>34</v>
      </c>
      <c r="B21" s="5" t="s">
        <v>14</v>
      </c>
      <c r="C21" s="5" t="s">
        <v>35</v>
      </c>
      <c r="D21" s="5">
        <v>33.28</v>
      </c>
      <c r="E21" s="5">
        <v>1</v>
      </c>
      <c r="F21" s="5">
        <f t="shared" si="1"/>
        <v>33.28</v>
      </c>
      <c r="G21" s="5" t="s">
        <v>140</v>
      </c>
    </row>
    <row r="22" spans="1:8" x14ac:dyDescent="0.35">
      <c r="A22" s="5" t="s">
        <v>36</v>
      </c>
      <c r="B22" s="5" t="s">
        <v>14</v>
      </c>
      <c r="C22" s="5" t="s">
        <v>37</v>
      </c>
      <c r="D22" s="5">
        <v>23.27</v>
      </c>
      <c r="E22" s="5">
        <v>1</v>
      </c>
      <c r="F22" s="5">
        <f t="shared" si="1"/>
        <v>23.27</v>
      </c>
      <c r="G22" s="5" t="s">
        <v>140</v>
      </c>
    </row>
    <row r="23" spans="1:8" x14ac:dyDescent="0.35">
      <c r="A23" s="5" t="s">
        <v>38</v>
      </c>
      <c r="B23" s="5" t="s">
        <v>14</v>
      </c>
      <c r="C23" s="5" t="s">
        <v>39</v>
      </c>
      <c r="D23" s="5">
        <v>141.76</v>
      </c>
      <c r="E23" s="5">
        <v>1</v>
      </c>
      <c r="F23" s="5">
        <f t="shared" si="1"/>
        <v>141.76</v>
      </c>
      <c r="G23" s="5" t="s">
        <v>140</v>
      </c>
    </row>
    <row r="24" spans="1:8" ht="87" x14ac:dyDescent="0.35">
      <c r="A24" s="5" t="s">
        <v>24</v>
      </c>
      <c r="B24" s="5" t="s">
        <v>25</v>
      </c>
      <c r="E24" s="5">
        <v>1</v>
      </c>
      <c r="G24" s="11" t="s">
        <v>140</v>
      </c>
      <c r="H24" s="1" t="s">
        <v>162</v>
      </c>
    </row>
    <row r="25" spans="1:8" x14ac:dyDescent="0.35">
      <c r="A25" s="7" t="s">
        <v>26</v>
      </c>
      <c r="B25" s="8"/>
      <c r="C25" s="8"/>
      <c r="D25" s="8"/>
      <c r="E25" s="8"/>
      <c r="F25" s="7">
        <f>SUM(F18:F24)</f>
        <v>18499.159999999996</v>
      </c>
    </row>
    <row r="28" spans="1:8" x14ac:dyDescent="0.35">
      <c r="A28" s="3" t="s">
        <v>40</v>
      </c>
    </row>
    <row r="29" spans="1:8" x14ac:dyDescent="0.35">
      <c r="A29" s="5" t="s">
        <v>41</v>
      </c>
      <c r="B29" s="5" t="s">
        <v>14</v>
      </c>
      <c r="C29" s="5" t="s">
        <v>42</v>
      </c>
      <c r="D29" s="5">
        <v>274.86</v>
      </c>
      <c r="E29" s="5">
        <v>1</v>
      </c>
      <c r="F29" s="5">
        <f>D29*E29</f>
        <v>274.86</v>
      </c>
      <c r="G29" s="5" t="s">
        <v>140</v>
      </c>
    </row>
    <row r="30" spans="1:8" x14ac:dyDescent="0.35">
      <c r="A30" s="5" t="s">
        <v>43</v>
      </c>
      <c r="B30" s="5" t="s">
        <v>14</v>
      </c>
      <c r="C30" s="5" t="s">
        <v>44</v>
      </c>
      <c r="D30" s="5">
        <v>79.569999999999993</v>
      </c>
      <c r="E30" s="5">
        <v>1</v>
      </c>
      <c r="F30" s="5">
        <f>D30*E30</f>
        <v>79.569999999999993</v>
      </c>
      <c r="G30" s="5" t="s">
        <v>140</v>
      </c>
    </row>
    <row r="31" spans="1:8" x14ac:dyDescent="0.35">
      <c r="A31" s="5" t="s">
        <v>45</v>
      </c>
      <c r="B31" s="5" t="s">
        <v>14</v>
      </c>
      <c r="C31" s="5" t="s">
        <v>33</v>
      </c>
      <c r="D31" s="5">
        <v>84.87</v>
      </c>
      <c r="E31" s="5">
        <v>1</v>
      </c>
      <c r="F31" s="5">
        <f>D31*E31</f>
        <v>84.87</v>
      </c>
      <c r="G31" s="5" t="s">
        <v>140</v>
      </c>
    </row>
    <row r="32" spans="1:8" x14ac:dyDescent="0.35">
      <c r="A32" s="5" t="s">
        <v>46</v>
      </c>
      <c r="B32" s="5" t="s">
        <v>14</v>
      </c>
      <c r="C32" s="5" t="s">
        <v>47</v>
      </c>
      <c r="D32" s="5">
        <v>293.25</v>
      </c>
      <c r="E32" s="5">
        <v>1</v>
      </c>
      <c r="F32" s="5">
        <f>D32*E32</f>
        <v>293.25</v>
      </c>
      <c r="G32" s="5" t="s">
        <v>140</v>
      </c>
    </row>
    <row r="33" spans="1:7" x14ac:dyDescent="0.35">
      <c r="A33" s="5" t="s">
        <v>48</v>
      </c>
      <c r="B33" s="5" t="s">
        <v>14</v>
      </c>
      <c r="C33" s="5" t="s">
        <v>49</v>
      </c>
      <c r="D33" s="5">
        <v>7.93</v>
      </c>
      <c r="E33" s="5">
        <v>1</v>
      </c>
      <c r="F33" s="5">
        <f t="shared" ref="F33:F34" si="2">D33*E33</f>
        <v>7.93</v>
      </c>
      <c r="G33" s="5" t="s">
        <v>140</v>
      </c>
    </row>
    <row r="34" spans="1:7" x14ac:dyDescent="0.35">
      <c r="A34" s="5" t="s">
        <v>50</v>
      </c>
      <c r="B34" s="5" t="s">
        <v>14</v>
      </c>
      <c r="C34" s="5" t="s">
        <v>51</v>
      </c>
      <c r="D34" s="5">
        <v>5.35</v>
      </c>
      <c r="E34" s="5">
        <v>1</v>
      </c>
      <c r="F34" s="5">
        <f t="shared" si="2"/>
        <v>5.35</v>
      </c>
      <c r="G34" s="5" t="s">
        <v>140</v>
      </c>
    </row>
    <row r="35" spans="1:7" x14ac:dyDescent="0.35">
      <c r="A35" s="5" t="s">
        <v>24</v>
      </c>
      <c r="B35" s="5" t="s">
        <v>25</v>
      </c>
      <c r="E35" s="5">
        <v>1</v>
      </c>
      <c r="G35" s="5" t="s">
        <v>140</v>
      </c>
    </row>
    <row r="36" spans="1:7" x14ac:dyDescent="0.35">
      <c r="A36" s="7" t="s">
        <v>26</v>
      </c>
      <c r="B36" s="8"/>
      <c r="C36" s="8"/>
      <c r="D36" s="8"/>
      <c r="E36" s="8"/>
      <c r="F36" s="7">
        <f>SUM(F29:F35)</f>
        <v>745.82999999999993</v>
      </c>
    </row>
    <row r="39" spans="1:7" x14ac:dyDescent="0.35">
      <c r="A39" s="3" t="s">
        <v>52</v>
      </c>
    </row>
    <row r="40" spans="1:7" x14ac:dyDescent="0.35">
      <c r="A40" s="5" t="s">
        <v>53</v>
      </c>
      <c r="B40" s="5" t="s">
        <v>14</v>
      </c>
      <c r="C40" s="5" t="s">
        <v>54</v>
      </c>
      <c r="D40" s="5">
        <v>36.26</v>
      </c>
      <c r="E40" s="5">
        <v>1</v>
      </c>
      <c r="F40" s="5">
        <f>D40*E40</f>
        <v>36.26</v>
      </c>
      <c r="G40" s="5" t="s">
        <v>140</v>
      </c>
    </row>
    <row r="41" spans="1:7" x14ac:dyDescent="0.35">
      <c r="A41" s="5" t="s">
        <v>55</v>
      </c>
      <c r="B41" s="5" t="s">
        <v>14</v>
      </c>
      <c r="C41" s="5" t="s">
        <v>56</v>
      </c>
      <c r="D41" s="5">
        <v>84.87</v>
      </c>
      <c r="E41" s="5">
        <v>1</v>
      </c>
      <c r="F41" s="5">
        <f>D41*E41</f>
        <v>84.87</v>
      </c>
      <c r="G41" s="5" t="s">
        <v>140</v>
      </c>
    </row>
    <row r="42" spans="1:7" x14ac:dyDescent="0.35">
      <c r="A42" s="5" t="s">
        <v>57</v>
      </c>
      <c r="B42" s="5" t="s">
        <v>14</v>
      </c>
      <c r="C42" s="5" t="s">
        <v>47</v>
      </c>
      <c r="D42" s="5">
        <v>293.25</v>
      </c>
      <c r="E42" s="5">
        <v>1</v>
      </c>
      <c r="F42" s="5">
        <f t="shared" ref="F42:F45" si="3">D42*E42</f>
        <v>293.25</v>
      </c>
      <c r="G42" s="5" t="s">
        <v>140</v>
      </c>
    </row>
    <row r="43" spans="1:7" x14ac:dyDescent="0.35">
      <c r="A43" s="5" t="s">
        <v>58</v>
      </c>
      <c r="B43" s="5" t="s">
        <v>14</v>
      </c>
      <c r="C43" s="5" t="s">
        <v>33</v>
      </c>
      <c r="D43" s="5">
        <v>84.87</v>
      </c>
      <c r="E43" s="5">
        <v>1</v>
      </c>
      <c r="F43" s="5">
        <f t="shared" si="3"/>
        <v>84.87</v>
      </c>
      <c r="G43" s="5" t="s">
        <v>140</v>
      </c>
    </row>
    <row r="44" spans="1:7" x14ac:dyDescent="0.35">
      <c r="A44" s="5" t="s">
        <v>48</v>
      </c>
      <c r="B44" s="5" t="s">
        <v>14</v>
      </c>
      <c r="C44" s="5" t="s">
        <v>49</v>
      </c>
      <c r="D44" s="5">
        <v>7.93</v>
      </c>
      <c r="E44" s="5">
        <v>1</v>
      </c>
      <c r="F44" s="5">
        <f t="shared" si="3"/>
        <v>7.93</v>
      </c>
      <c r="G44" s="5" t="s">
        <v>140</v>
      </c>
    </row>
    <row r="45" spans="1:7" x14ac:dyDescent="0.35">
      <c r="A45" s="5" t="s">
        <v>50</v>
      </c>
      <c r="B45" s="5" t="s">
        <v>14</v>
      </c>
      <c r="C45" s="5" t="s">
        <v>51</v>
      </c>
      <c r="D45" s="5">
        <v>5.35</v>
      </c>
      <c r="E45" s="5">
        <v>1</v>
      </c>
      <c r="F45" s="5">
        <f t="shared" si="3"/>
        <v>5.35</v>
      </c>
      <c r="G45" s="5" t="s">
        <v>140</v>
      </c>
    </row>
    <row r="46" spans="1:7" x14ac:dyDescent="0.35">
      <c r="A46" s="5" t="s">
        <v>24</v>
      </c>
      <c r="B46" s="5" t="s">
        <v>25</v>
      </c>
      <c r="E46" s="5">
        <v>1</v>
      </c>
      <c r="G46" s="5" t="s">
        <v>140</v>
      </c>
    </row>
    <row r="47" spans="1:7" x14ac:dyDescent="0.35">
      <c r="A47" s="7" t="s">
        <v>26</v>
      </c>
      <c r="B47" s="7"/>
      <c r="C47" s="7"/>
      <c r="D47" s="7"/>
      <c r="E47" s="7"/>
      <c r="F47" s="7">
        <f>SUM(F40:F46)</f>
        <v>512.53</v>
      </c>
    </row>
    <row r="50" spans="1:8" x14ac:dyDescent="0.35">
      <c r="A50" s="3" t="s">
        <v>59</v>
      </c>
    </row>
    <row r="51" spans="1:8" x14ac:dyDescent="0.35">
      <c r="A51" s="5" t="s">
        <v>60</v>
      </c>
      <c r="B51" s="5" t="s">
        <v>61</v>
      </c>
      <c r="C51" s="5" t="s">
        <v>62</v>
      </c>
      <c r="D51" s="6">
        <v>846</v>
      </c>
      <c r="E51" s="5">
        <v>2</v>
      </c>
      <c r="F51" s="5">
        <f t="shared" ref="F51:F56" si="4">D51*E51</f>
        <v>1692</v>
      </c>
      <c r="G51" s="9" t="s">
        <v>141</v>
      </c>
    </row>
    <row r="52" spans="1:8" x14ac:dyDescent="0.35">
      <c r="A52" s="5" t="s">
        <v>63</v>
      </c>
      <c r="B52" s="5" t="s">
        <v>14</v>
      </c>
      <c r="C52" s="5" t="s">
        <v>64</v>
      </c>
      <c r="D52" s="5">
        <v>97.66</v>
      </c>
      <c r="E52" s="5">
        <v>1</v>
      </c>
      <c r="F52" s="5">
        <f t="shared" si="4"/>
        <v>97.66</v>
      </c>
      <c r="G52" s="9" t="s">
        <v>141</v>
      </c>
    </row>
    <row r="53" spans="1:8" x14ac:dyDescent="0.35">
      <c r="A53" s="5" t="s">
        <v>65</v>
      </c>
      <c r="B53" s="5" t="s">
        <v>14</v>
      </c>
      <c r="C53" s="5" t="s">
        <v>66</v>
      </c>
      <c r="D53" s="5">
        <v>30.3</v>
      </c>
      <c r="E53" s="5">
        <v>1</v>
      </c>
      <c r="F53" s="5">
        <f t="shared" si="4"/>
        <v>30.3</v>
      </c>
      <c r="G53" s="9" t="s">
        <v>141</v>
      </c>
    </row>
    <row r="54" spans="1:8" x14ac:dyDescent="0.35">
      <c r="A54" s="5" t="s">
        <v>67</v>
      </c>
      <c r="B54" s="5" t="s">
        <v>14</v>
      </c>
      <c r="C54" s="5" t="s">
        <v>68</v>
      </c>
      <c r="D54" s="5">
        <v>106.05</v>
      </c>
      <c r="E54" s="5">
        <v>1</v>
      </c>
      <c r="F54" s="5">
        <f t="shared" si="4"/>
        <v>106.05</v>
      </c>
      <c r="G54" s="9" t="s">
        <v>141</v>
      </c>
    </row>
    <row r="55" spans="1:8" x14ac:dyDescent="0.35">
      <c r="A55" s="5" t="s">
        <v>50</v>
      </c>
      <c r="B55" s="5" t="s">
        <v>14</v>
      </c>
      <c r="C55" s="5" t="s">
        <v>69</v>
      </c>
      <c r="D55" s="5">
        <v>36.520000000000003</v>
      </c>
      <c r="E55" s="5">
        <v>1</v>
      </c>
      <c r="F55" s="5">
        <f t="shared" si="4"/>
        <v>36.520000000000003</v>
      </c>
      <c r="G55" s="9" t="s">
        <v>141</v>
      </c>
    </row>
    <row r="56" spans="1:8" x14ac:dyDescent="0.35">
      <c r="A56" s="5" t="s">
        <v>70</v>
      </c>
      <c r="B56" s="5" t="s">
        <v>14</v>
      </c>
      <c r="C56" s="5" t="s">
        <v>71</v>
      </c>
      <c r="D56" s="5">
        <v>10.83</v>
      </c>
      <c r="E56" s="5">
        <v>1</v>
      </c>
      <c r="F56" s="5">
        <f t="shared" si="4"/>
        <v>10.83</v>
      </c>
      <c r="G56" s="9" t="s">
        <v>141</v>
      </c>
    </row>
    <row r="57" spans="1:8" x14ac:dyDescent="0.35">
      <c r="A57" s="7" t="s">
        <v>26</v>
      </c>
      <c r="B57" s="7"/>
      <c r="C57" s="7"/>
      <c r="D57" s="7"/>
      <c r="E57" s="7"/>
      <c r="F57" s="7">
        <f>SUM(F51:F56)</f>
        <v>1973.36</v>
      </c>
    </row>
    <row r="60" spans="1:8" x14ac:dyDescent="0.35">
      <c r="A60" s="3" t="s">
        <v>72</v>
      </c>
    </row>
    <row r="61" spans="1:8" x14ac:dyDescent="0.35">
      <c r="A61" s="5" t="s">
        <v>53</v>
      </c>
      <c r="B61" s="5" t="s">
        <v>14</v>
      </c>
      <c r="C61" s="5" t="s">
        <v>54</v>
      </c>
      <c r="D61" s="5">
        <v>36.26</v>
      </c>
      <c r="E61" s="5">
        <v>1</v>
      </c>
      <c r="F61" s="5">
        <f>D61*E61</f>
        <v>36.26</v>
      </c>
      <c r="G61" s="5" t="s">
        <v>140</v>
      </c>
    </row>
    <row r="62" spans="1:8" x14ac:dyDescent="0.35">
      <c r="A62" s="5" t="s">
        <v>55</v>
      </c>
      <c r="B62" s="5" t="s">
        <v>14</v>
      </c>
      <c r="C62" s="5" t="s">
        <v>56</v>
      </c>
      <c r="D62" s="5">
        <v>84.87</v>
      </c>
      <c r="E62" s="5">
        <v>1</v>
      </c>
      <c r="F62" s="5">
        <f>D62*E62</f>
        <v>84.87</v>
      </c>
      <c r="G62" s="5" t="s">
        <v>140</v>
      </c>
    </row>
    <row r="63" spans="1:8" x14ac:dyDescent="0.35">
      <c r="A63" s="5" t="s">
        <v>73</v>
      </c>
      <c r="B63" s="5" t="s">
        <v>14</v>
      </c>
      <c r="C63" s="5" t="s">
        <v>47</v>
      </c>
      <c r="D63" s="5">
        <v>293.25</v>
      </c>
      <c r="E63" s="5">
        <v>1</v>
      </c>
      <c r="F63" s="5">
        <f t="shared" ref="F63:F69" si="5">D63*E63</f>
        <v>293.25</v>
      </c>
      <c r="G63" s="5" t="s">
        <v>140</v>
      </c>
      <c r="H63" s="1" t="s">
        <v>144</v>
      </c>
    </row>
    <row r="64" spans="1:8" x14ac:dyDescent="0.35">
      <c r="A64" s="5" t="s">
        <v>58</v>
      </c>
      <c r="B64" s="5" t="s">
        <v>14</v>
      </c>
      <c r="C64" s="5" t="s">
        <v>33</v>
      </c>
      <c r="D64" s="5">
        <v>84.87</v>
      </c>
      <c r="E64" s="5">
        <v>1</v>
      </c>
      <c r="F64" s="5">
        <f t="shared" si="5"/>
        <v>84.87</v>
      </c>
      <c r="G64" s="5" t="s">
        <v>140</v>
      </c>
    </row>
    <row r="65" spans="1:8" x14ac:dyDescent="0.35">
      <c r="A65" s="5" t="s">
        <v>74</v>
      </c>
      <c r="B65" s="5" t="s">
        <v>9</v>
      </c>
      <c r="C65" s="5" t="s">
        <v>75</v>
      </c>
      <c r="D65" s="6">
        <v>75</v>
      </c>
      <c r="E65" s="5">
        <v>1</v>
      </c>
      <c r="F65" s="6">
        <f t="shared" si="5"/>
        <v>75</v>
      </c>
      <c r="G65" s="5" t="s">
        <v>140</v>
      </c>
    </row>
    <row r="66" spans="1:8" x14ac:dyDescent="0.35">
      <c r="A66" s="5" t="s">
        <v>76</v>
      </c>
      <c r="B66" s="5" t="s">
        <v>14</v>
      </c>
      <c r="C66" s="5" t="s">
        <v>77</v>
      </c>
      <c r="D66" s="5">
        <v>337.62</v>
      </c>
      <c r="E66" s="5">
        <v>1</v>
      </c>
      <c r="F66" s="5">
        <f t="shared" si="5"/>
        <v>337.62</v>
      </c>
      <c r="G66" s="5" t="s">
        <v>140</v>
      </c>
    </row>
    <row r="67" spans="1:8" x14ac:dyDescent="0.35">
      <c r="A67" s="5" t="s">
        <v>78</v>
      </c>
      <c r="B67" s="5" t="s">
        <v>14</v>
      </c>
      <c r="C67" s="5" t="s">
        <v>49</v>
      </c>
      <c r="D67" s="5">
        <v>7.93</v>
      </c>
      <c r="E67" s="5">
        <v>2</v>
      </c>
      <c r="F67" s="5">
        <f t="shared" si="5"/>
        <v>15.86</v>
      </c>
      <c r="G67" s="5" t="s">
        <v>140</v>
      </c>
    </row>
    <row r="68" spans="1:8" x14ac:dyDescent="0.35">
      <c r="A68" s="5" t="s">
        <v>79</v>
      </c>
      <c r="B68" s="5" t="s">
        <v>14</v>
      </c>
      <c r="C68" s="5" t="s">
        <v>51</v>
      </c>
      <c r="D68" s="5">
        <v>5.35</v>
      </c>
      <c r="E68" s="5">
        <v>2</v>
      </c>
      <c r="F68" s="5">
        <f t="shared" si="5"/>
        <v>10.7</v>
      </c>
      <c r="G68" s="5" t="s">
        <v>140</v>
      </c>
    </row>
    <row r="69" spans="1:8" x14ac:dyDescent="0.35">
      <c r="A69" s="5" t="s">
        <v>80</v>
      </c>
      <c r="B69" s="5" t="s">
        <v>14</v>
      </c>
      <c r="C69" s="5" t="s">
        <v>81</v>
      </c>
      <c r="D69" s="5">
        <v>8.52</v>
      </c>
      <c r="E69" s="5">
        <v>1</v>
      </c>
      <c r="F69" s="5">
        <f t="shared" si="5"/>
        <v>8.52</v>
      </c>
      <c r="G69" s="9" t="s">
        <v>141</v>
      </c>
    </row>
    <row r="70" spans="1:8" x14ac:dyDescent="0.35">
      <c r="A70" s="5" t="s">
        <v>82</v>
      </c>
      <c r="B70" s="5" t="s">
        <v>25</v>
      </c>
      <c r="E70" s="5">
        <v>1</v>
      </c>
      <c r="G70" s="5" t="s">
        <v>140</v>
      </c>
    </row>
    <row r="71" spans="1:8" x14ac:dyDescent="0.35">
      <c r="A71" s="7" t="s">
        <v>26</v>
      </c>
      <c r="B71" s="7"/>
      <c r="C71" s="7"/>
      <c r="D71" s="7"/>
      <c r="E71" s="7"/>
      <c r="F71" s="7">
        <f>SUM(F61:F69)</f>
        <v>946.95</v>
      </c>
    </row>
    <row r="74" spans="1:8" x14ac:dyDescent="0.35">
      <c r="A74" s="3" t="s">
        <v>83</v>
      </c>
    </row>
    <row r="75" spans="1:8" ht="58" x14ac:dyDescent="0.35">
      <c r="A75" s="5" t="s">
        <v>84</v>
      </c>
      <c r="B75" s="5" t="s">
        <v>14</v>
      </c>
      <c r="C75" s="5" t="s">
        <v>85</v>
      </c>
      <c r="D75" s="5">
        <v>1048.57</v>
      </c>
      <c r="E75" s="5">
        <v>1</v>
      </c>
      <c r="F75" s="5">
        <f>D75*E75</f>
        <v>1048.57</v>
      </c>
      <c r="G75" s="5" t="s">
        <v>140</v>
      </c>
      <c r="H75" s="1" t="s">
        <v>145</v>
      </c>
    </row>
    <row r="76" spans="1:8" x14ac:dyDescent="0.35">
      <c r="A76" s="5" t="s">
        <v>86</v>
      </c>
      <c r="B76" s="5" t="s">
        <v>14</v>
      </c>
      <c r="C76" s="5" t="s">
        <v>87</v>
      </c>
      <c r="D76" s="5">
        <v>1048.57</v>
      </c>
      <c r="E76" s="5">
        <v>1</v>
      </c>
      <c r="F76" s="5">
        <f>D76*E76</f>
        <v>1048.57</v>
      </c>
      <c r="G76" s="9" t="s">
        <v>141</v>
      </c>
    </row>
    <row r="77" spans="1:8" x14ac:dyDescent="0.35">
      <c r="A77" s="5" t="s">
        <v>88</v>
      </c>
      <c r="B77" s="5" t="s">
        <v>14</v>
      </c>
      <c r="C77" s="5" t="s">
        <v>89</v>
      </c>
      <c r="D77" s="5">
        <v>363.59</v>
      </c>
      <c r="E77" s="5">
        <v>1</v>
      </c>
      <c r="F77" s="5">
        <f>D77*E77</f>
        <v>363.59</v>
      </c>
      <c r="G77" s="5" t="s">
        <v>140</v>
      </c>
    </row>
    <row r="78" spans="1:8" x14ac:dyDescent="0.35">
      <c r="A78" s="5" t="s">
        <v>90</v>
      </c>
      <c r="B78" s="5" t="s">
        <v>9</v>
      </c>
      <c r="C78" s="5" t="s">
        <v>91</v>
      </c>
      <c r="D78" s="6">
        <v>995</v>
      </c>
      <c r="E78" s="5">
        <v>1</v>
      </c>
      <c r="F78" s="6">
        <f>D78*E78</f>
        <v>995</v>
      </c>
      <c r="G78" s="5" t="s">
        <v>140</v>
      </c>
    </row>
    <row r="79" spans="1:8" x14ac:dyDescent="0.35">
      <c r="A79" s="5" t="s">
        <v>92</v>
      </c>
      <c r="B79" s="5" t="s">
        <v>14</v>
      </c>
      <c r="C79" s="5" t="s">
        <v>93</v>
      </c>
      <c r="D79" s="5">
        <v>14.68</v>
      </c>
      <c r="E79" s="5">
        <v>1</v>
      </c>
      <c r="F79" s="5">
        <f t="shared" ref="F79:F89" si="6">D79*E79</f>
        <v>14.68</v>
      </c>
      <c r="G79" s="5" t="s">
        <v>140</v>
      </c>
    </row>
    <row r="80" spans="1:8" x14ac:dyDescent="0.35">
      <c r="A80" s="5" t="s">
        <v>94</v>
      </c>
      <c r="B80" s="5" t="s">
        <v>14</v>
      </c>
      <c r="C80" s="5" t="s">
        <v>95</v>
      </c>
      <c r="D80" s="5">
        <v>205.6</v>
      </c>
      <c r="E80" s="5">
        <v>1</v>
      </c>
      <c r="F80" s="5">
        <f t="shared" si="6"/>
        <v>205.6</v>
      </c>
      <c r="G80" s="5" t="s">
        <v>140</v>
      </c>
    </row>
    <row r="81" spans="1:8" x14ac:dyDescent="0.35">
      <c r="A81" s="5" t="s">
        <v>48</v>
      </c>
      <c r="B81" s="5" t="s">
        <v>14</v>
      </c>
      <c r="C81" s="5" t="s">
        <v>96</v>
      </c>
      <c r="D81" s="5">
        <v>37.61</v>
      </c>
      <c r="E81" s="5">
        <v>1</v>
      </c>
      <c r="F81" s="5">
        <f t="shared" si="6"/>
        <v>37.61</v>
      </c>
      <c r="G81" s="5" t="s">
        <v>140</v>
      </c>
    </row>
    <row r="82" spans="1:8" x14ac:dyDescent="0.35">
      <c r="A82" s="5" t="s">
        <v>50</v>
      </c>
      <c r="B82" s="5" t="s">
        <v>14</v>
      </c>
      <c r="C82" s="5" t="s">
        <v>97</v>
      </c>
      <c r="D82" s="5">
        <v>25.97</v>
      </c>
      <c r="E82" s="5">
        <v>1</v>
      </c>
      <c r="F82" s="5">
        <f t="shared" si="6"/>
        <v>25.97</v>
      </c>
      <c r="G82" s="5" t="s">
        <v>140</v>
      </c>
    </row>
    <row r="83" spans="1:8" x14ac:dyDescent="0.35">
      <c r="A83" s="5" t="s">
        <v>98</v>
      </c>
      <c r="B83" s="5" t="s">
        <v>14</v>
      </c>
      <c r="C83" s="5" t="s">
        <v>99</v>
      </c>
      <c r="D83" s="5">
        <v>26.52</v>
      </c>
      <c r="E83" s="5">
        <v>1</v>
      </c>
      <c r="F83" s="5">
        <f t="shared" si="6"/>
        <v>26.52</v>
      </c>
      <c r="G83" s="5" t="s">
        <v>140</v>
      </c>
    </row>
    <row r="84" spans="1:8" x14ac:dyDescent="0.35">
      <c r="A84" s="5" t="s">
        <v>100</v>
      </c>
      <c r="B84" s="5" t="s">
        <v>14</v>
      </c>
      <c r="C84" s="5" t="s">
        <v>101</v>
      </c>
      <c r="D84" s="5">
        <v>8.91</v>
      </c>
      <c r="E84" s="5">
        <v>4</v>
      </c>
      <c r="F84" s="5">
        <f t="shared" si="6"/>
        <v>35.64</v>
      </c>
      <c r="G84" s="5" t="s">
        <v>140</v>
      </c>
    </row>
    <row r="85" spans="1:8" x14ac:dyDescent="0.35">
      <c r="A85" s="5" t="s">
        <v>102</v>
      </c>
      <c r="B85" s="5" t="s">
        <v>14</v>
      </c>
      <c r="C85" s="5" t="s">
        <v>103</v>
      </c>
      <c r="D85" s="6">
        <v>15</v>
      </c>
      <c r="E85" s="5">
        <v>4</v>
      </c>
      <c r="F85" s="6">
        <f t="shared" si="6"/>
        <v>60</v>
      </c>
      <c r="G85" s="9" t="s">
        <v>141</v>
      </c>
    </row>
    <row r="86" spans="1:8" x14ac:dyDescent="0.35">
      <c r="A86" s="5" t="s">
        <v>104</v>
      </c>
      <c r="B86" s="5" t="s">
        <v>14</v>
      </c>
      <c r="C86" s="5" t="s">
        <v>105</v>
      </c>
      <c r="D86" s="5">
        <v>353.86</v>
      </c>
      <c r="E86" s="5">
        <v>1</v>
      </c>
      <c r="F86" s="6">
        <f t="shared" si="6"/>
        <v>353.86</v>
      </c>
      <c r="G86" s="5" t="s">
        <v>140</v>
      </c>
    </row>
    <row r="87" spans="1:8" x14ac:dyDescent="0.35">
      <c r="A87" s="5" t="s">
        <v>18</v>
      </c>
      <c r="B87" s="5" t="s">
        <v>14</v>
      </c>
      <c r="C87" s="5" t="s">
        <v>19</v>
      </c>
      <c r="D87" s="5">
        <v>182.88</v>
      </c>
      <c r="E87" s="5">
        <v>1</v>
      </c>
      <c r="F87" s="5">
        <f t="shared" si="6"/>
        <v>182.88</v>
      </c>
      <c r="G87" s="5" t="s">
        <v>140</v>
      </c>
    </row>
    <row r="88" spans="1:8" x14ac:dyDescent="0.35">
      <c r="A88" s="5" t="s">
        <v>50</v>
      </c>
      <c r="B88" s="5" t="s">
        <v>14</v>
      </c>
      <c r="C88" s="5" t="s">
        <v>51</v>
      </c>
      <c r="D88" s="5">
        <v>5.35</v>
      </c>
      <c r="E88" s="5">
        <v>1</v>
      </c>
      <c r="F88" s="5">
        <f t="shared" si="6"/>
        <v>5.35</v>
      </c>
      <c r="G88" s="5" t="s">
        <v>140</v>
      </c>
    </row>
    <row r="89" spans="1:8" x14ac:dyDescent="0.35">
      <c r="A89" s="5" t="s">
        <v>106</v>
      </c>
      <c r="B89" s="5" t="s">
        <v>14</v>
      </c>
      <c r="C89" s="5" t="s">
        <v>107</v>
      </c>
      <c r="D89" s="5">
        <v>543.22</v>
      </c>
      <c r="E89" s="5">
        <v>1</v>
      </c>
      <c r="F89" s="5">
        <f t="shared" si="6"/>
        <v>543.22</v>
      </c>
      <c r="G89" s="5" t="s">
        <v>140</v>
      </c>
    </row>
    <row r="90" spans="1:8" x14ac:dyDescent="0.35">
      <c r="A90" s="5" t="s">
        <v>108</v>
      </c>
      <c r="B90" s="5" t="s">
        <v>14</v>
      </c>
      <c r="C90" s="5" t="s">
        <v>109</v>
      </c>
      <c r="D90" s="5">
        <v>437.75</v>
      </c>
      <c r="E90" s="5">
        <v>1</v>
      </c>
      <c r="F90" s="5">
        <f>D90*E90</f>
        <v>437.75</v>
      </c>
      <c r="G90" s="5" t="s">
        <v>140</v>
      </c>
    </row>
    <row r="91" spans="1:8" x14ac:dyDescent="0.35">
      <c r="A91" s="5" t="s">
        <v>110</v>
      </c>
      <c r="B91" s="5" t="s">
        <v>14</v>
      </c>
      <c r="C91" s="5" t="s">
        <v>111</v>
      </c>
      <c r="D91" s="5">
        <v>14.94</v>
      </c>
      <c r="E91" s="5">
        <v>1</v>
      </c>
      <c r="F91" s="5">
        <f>D91*E91</f>
        <v>14.94</v>
      </c>
      <c r="G91" s="5" t="s">
        <v>140</v>
      </c>
    </row>
    <row r="92" spans="1:8" x14ac:dyDescent="0.35">
      <c r="A92" s="5" t="s">
        <v>48</v>
      </c>
      <c r="B92" s="5" t="s">
        <v>14</v>
      </c>
      <c r="C92" s="5" t="s">
        <v>49</v>
      </c>
      <c r="D92" s="5">
        <v>7.93</v>
      </c>
      <c r="E92" s="5">
        <v>1</v>
      </c>
      <c r="F92" s="5">
        <f>D92*E92</f>
        <v>7.93</v>
      </c>
      <c r="G92" s="5" t="s">
        <v>140</v>
      </c>
    </row>
    <row r="93" spans="1:8" x14ac:dyDescent="0.35">
      <c r="A93" s="5" t="s">
        <v>112</v>
      </c>
      <c r="B93" s="5" t="s">
        <v>14</v>
      </c>
      <c r="C93" s="5" t="s">
        <v>113</v>
      </c>
      <c r="D93" s="5">
        <v>312.73</v>
      </c>
      <c r="E93" s="5">
        <v>1</v>
      </c>
      <c r="F93" s="5">
        <f>D93*E93</f>
        <v>312.73</v>
      </c>
      <c r="G93" s="5" t="s">
        <v>140</v>
      </c>
    </row>
    <row r="94" spans="1:8" x14ac:dyDescent="0.35">
      <c r="A94" s="5" t="s">
        <v>114</v>
      </c>
      <c r="B94" s="5" t="s">
        <v>9</v>
      </c>
      <c r="C94" s="5" t="s">
        <v>115</v>
      </c>
      <c r="D94" s="6">
        <v>133</v>
      </c>
      <c r="E94" s="5">
        <v>1</v>
      </c>
      <c r="F94" s="6">
        <f>D94*E94</f>
        <v>133</v>
      </c>
      <c r="G94" s="9" t="s">
        <v>141</v>
      </c>
      <c r="H94" s="1" t="s">
        <v>176</v>
      </c>
    </row>
    <row r="95" spans="1:8" x14ac:dyDescent="0.35">
      <c r="A95" s="7" t="s">
        <v>26</v>
      </c>
      <c r="B95" s="7"/>
      <c r="C95" s="7"/>
      <c r="D95" s="7"/>
      <c r="E95" s="7"/>
      <c r="F95" s="7">
        <f>SUM(F75:F94)</f>
        <v>5853.41</v>
      </c>
    </row>
    <row r="98" spans="1:7" x14ac:dyDescent="0.35">
      <c r="A98" s="3" t="s">
        <v>116</v>
      </c>
    </row>
    <row r="99" spans="1:7" x14ac:dyDescent="0.35">
      <c r="A99" s="5" t="s">
        <v>117</v>
      </c>
      <c r="B99" s="5" t="s">
        <v>14</v>
      </c>
      <c r="C99" s="5" t="s">
        <v>118</v>
      </c>
      <c r="D99" s="6">
        <v>25.13</v>
      </c>
      <c r="E99" s="5">
        <v>2</v>
      </c>
      <c r="F99" s="6">
        <f>D99*E99</f>
        <v>50.26</v>
      </c>
      <c r="G99" s="5" t="s">
        <v>140</v>
      </c>
    </row>
    <row r="100" spans="1:7" x14ac:dyDescent="0.35">
      <c r="A100" s="5" t="s">
        <v>119</v>
      </c>
      <c r="B100" s="5" t="s">
        <v>14</v>
      </c>
      <c r="C100" s="5" t="s">
        <v>120</v>
      </c>
      <c r="D100" s="6">
        <v>26.51</v>
      </c>
      <c r="E100" s="5">
        <v>1</v>
      </c>
      <c r="F100" s="6">
        <f t="shared" ref="F100:F105" si="7">D100*E100</f>
        <v>26.51</v>
      </c>
      <c r="G100" s="9" t="s">
        <v>141</v>
      </c>
    </row>
    <row r="101" spans="1:7" x14ac:dyDescent="0.35">
      <c r="A101" s="5" t="s">
        <v>121</v>
      </c>
      <c r="B101" s="5" t="s">
        <v>14</v>
      </c>
      <c r="C101" s="5" t="s">
        <v>122</v>
      </c>
      <c r="D101" s="6">
        <v>42.4</v>
      </c>
      <c r="E101" s="5">
        <v>1</v>
      </c>
      <c r="F101" s="6">
        <f t="shared" si="7"/>
        <v>42.4</v>
      </c>
      <c r="G101" s="9" t="s">
        <v>141</v>
      </c>
    </row>
    <row r="102" spans="1:7" x14ac:dyDescent="0.35">
      <c r="A102" s="5" t="s">
        <v>123</v>
      </c>
      <c r="B102" s="5" t="s">
        <v>14</v>
      </c>
      <c r="C102" s="5" t="s">
        <v>124</v>
      </c>
      <c r="D102" s="6">
        <v>56</v>
      </c>
      <c r="E102" s="5">
        <v>1</v>
      </c>
      <c r="F102" s="6">
        <f t="shared" si="7"/>
        <v>56</v>
      </c>
      <c r="G102" s="9" t="s">
        <v>141</v>
      </c>
    </row>
    <row r="103" spans="1:7" x14ac:dyDescent="0.35">
      <c r="A103" s="5" t="s">
        <v>125</v>
      </c>
      <c r="B103" s="5" t="s">
        <v>14</v>
      </c>
      <c r="C103" s="5" t="s">
        <v>126</v>
      </c>
      <c r="D103" s="6">
        <v>19.96</v>
      </c>
      <c r="E103" s="5">
        <v>1</v>
      </c>
      <c r="F103" s="6">
        <f t="shared" si="7"/>
        <v>19.96</v>
      </c>
      <c r="G103" s="9" t="s">
        <v>141</v>
      </c>
    </row>
    <row r="104" spans="1:7" x14ac:dyDescent="0.35">
      <c r="A104" s="5" t="s">
        <v>127</v>
      </c>
      <c r="B104" s="5" t="s">
        <v>14</v>
      </c>
      <c r="C104" s="5" t="s">
        <v>128</v>
      </c>
      <c r="D104" s="6">
        <v>16.89</v>
      </c>
      <c r="E104" s="5">
        <v>1</v>
      </c>
      <c r="F104" s="6">
        <f t="shared" si="7"/>
        <v>16.89</v>
      </c>
      <c r="G104" s="9" t="s">
        <v>141</v>
      </c>
    </row>
    <row r="105" spans="1:7" x14ac:dyDescent="0.35">
      <c r="A105" s="5" t="s">
        <v>129</v>
      </c>
      <c r="B105" s="5" t="s">
        <v>14</v>
      </c>
      <c r="C105" s="5" t="s">
        <v>130</v>
      </c>
      <c r="D105" s="6">
        <v>1715.58</v>
      </c>
      <c r="E105" s="5">
        <v>1</v>
      </c>
      <c r="F105" s="6">
        <f t="shared" si="7"/>
        <v>1715.58</v>
      </c>
      <c r="G105" s="11" t="s">
        <v>140</v>
      </c>
    </row>
    <row r="106" spans="1:7" x14ac:dyDescent="0.35">
      <c r="A106" s="5" t="s">
        <v>131</v>
      </c>
      <c r="B106" s="5" t="s">
        <v>14</v>
      </c>
      <c r="C106" s="5" t="s">
        <v>132</v>
      </c>
      <c r="D106" s="6">
        <v>5622.77</v>
      </c>
      <c r="E106" s="5">
        <v>1</v>
      </c>
      <c r="F106" s="6">
        <f>D106*E106</f>
        <v>5622.77</v>
      </c>
      <c r="G106" s="11" t="s">
        <v>140</v>
      </c>
    </row>
    <row r="107" spans="1:7" x14ac:dyDescent="0.35">
      <c r="A107" s="7" t="s">
        <v>26</v>
      </c>
      <c r="B107" s="7"/>
      <c r="C107" s="7"/>
      <c r="D107" s="10"/>
      <c r="E107" s="7"/>
      <c r="F107" s="10">
        <f>SUM(F99:F106)</f>
        <v>7550.3700000000008</v>
      </c>
    </row>
    <row r="108" spans="1:7" x14ac:dyDescent="0.35">
      <c r="D108" s="6"/>
      <c r="F108" s="6"/>
    </row>
    <row r="109" spans="1:7" x14ac:dyDescent="0.35">
      <c r="A109" s="3" t="s">
        <v>146</v>
      </c>
    </row>
    <row r="110" spans="1:7" x14ac:dyDescent="0.35">
      <c r="A110" s="5" t="s">
        <v>147</v>
      </c>
      <c r="E110" s="5">
        <v>1</v>
      </c>
      <c r="G110" s="5" t="s">
        <v>140</v>
      </c>
    </row>
    <row r="111" spans="1:7" x14ac:dyDescent="0.35">
      <c r="A111" s="5" t="s">
        <v>148</v>
      </c>
      <c r="B111" s="5" t="s">
        <v>14</v>
      </c>
      <c r="C111" s="5" t="s">
        <v>149</v>
      </c>
      <c r="E111" s="5">
        <v>1</v>
      </c>
      <c r="G111" s="5" t="s">
        <v>140</v>
      </c>
    </row>
    <row r="112" spans="1:7" x14ac:dyDescent="0.35">
      <c r="A112" s="5" t="s">
        <v>150</v>
      </c>
      <c r="B112" s="5" t="s">
        <v>14</v>
      </c>
      <c r="C112" s="5" t="s">
        <v>151</v>
      </c>
      <c r="E112" s="5">
        <v>1</v>
      </c>
      <c r="G112" s="5" t="s">
        <v>140</v>
      </c>
    </row>
    <row r="113" spans="1:8" x14ac:dyDescent="0.35">
      <c r="A113" s="5" t="s">
        <v>152</v>
      </c>
      <c r="B113" s="5" t="s">
        <v>154</v>
      </c>
      <c r="C113" s="5" t="s">
        <v>153</v>
      </c>
      <c r="E113" s="5">
        <v>1</v>
      </c>
      <c r="G113" s="5" t="s">
        <v>140</v>
      </c>
    </row>
    <row r="114" spans="1:8" x14ac:dyDescent="0.35">
      <c r="A114" s="5" t="s">
        <v>156</v>
      </c>
      <c r="B114" s="5" t="s">
        <v>157</v>
      </c>
      <c r="G114" s="5" t="s">
        <v>140</v>
      </c>
      <c r="H114" s="1" t="s">
        <v>158</v>
      </c>
    </row>
    <row r="115" spans="1:8" ht="143" customHeight="1" x14ac:dyDescent="0.35">
      <c r="A115" s="2" t="s">
        <v>155</v>
      </c>
      <c r="G115" s="5" t="s">
        <v>140</v>
      </c>
    </row>
    <row r="116" spans="1:8" x14ac:dyDescent="0.35">
      <c r="A116" s="5" t="s">
        <v>163</v>
      </c>
      <c r="E116" s="5">
        <v>2</v>
      </c>
    </row>
    <row r="117" spans="1:8" x14ac:dyDescent="0.35">
      <c r="A117" s="3"/>
    </row>
    <row r="120" spans="1:8" x14ac:dyDescent="0.35">
      <c r="A120" s="7" t="s">
        <v>133</v>
      </c>
      <c r="B120" s="7"/>
      <c r="C120" s="7"/>
      <c r="D120" s="10"/>
      <c r="E120" s="7"/>
      <c r="F120" s="10">
        <f>F14+F25+F36+F47+F57+F71+F95+F107</f>
        <v>41856.97</v>
      </c>
    </row>
    <row r="123" spans="1:8" x14ac:dyDescent="0.35">
      <c r="A123" s="3" t="s">
        <v>134</v>
      </c>
    </row>
    <row r="124" spans="1:8" x14ac:dyDescent="0.35">
      <c r="A124" s="5" t="s">
        <v>135</v>
      </c>
      <c r="B124" s="5" t="s">
        <v>136</v>
      </c>
      <c r="H124" s="1" t="s">
        <v>137</v>
      </c>
    </row>
    <row r="125" spans="1:8" x14ac:dyDescent="0.35">
      <c r="A125" s="5" t="s">
        <v>138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48A4-38FC-4BD4-A4D3-1734923ECD98}">
  <dimension ref="A1:I40"/>
  <sheetViews>
    <sheetView workbookViewId="0">
      <selection activeCell="H9" sqref="H9"/>
    </sheetView>
  </sheetViews>
  <sheetFormatPr defaultRowHeight="14.5" x14ac:dyDescent="0.35"/>
  <cols>
    <col min="1" max="1" width="23.81640625" customWidth="1"/>
    <col min="2" max="2" width="20.1796875" customWidth="1"/>
    <col min="3" max="3" width="20.36328125" customWidth="1"/>
    <col min="4" max="4" width="16" customWidth="1"/>
    <col min="5" max="5" width="11.1796875" customWidth="1"/>
    <col min="6" max="6" width="14.54296875" customWidth="1"/>
    <col min="7" max="7" width="16.1796875" customWidth="1"/>
    <col min="8" max="8" width="18.7265625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139</v>
      </c>
      <c r="H1" s="12" t="s">
        <v>165</v>
      </c>
      <c r="I1" s="4" t="s">
        <v>6</v>
      </c>
    </row>
    <row r="2" spans="1:9" ht="16" x14ac:dyDescent="0.5">
      <c r="A2" t="s">
        <v>166</v>
      </c>
      <c r="B2" t="s">
        <v>9</v>
      </c>
      <c r="C2" s="13" t="s">
        <v>167</v>
      </c>
      <c r="D2" s="14">
        <v>23</v>
      </c>
      <c r="E2">
        <v>1</v>
      </c>
      <c r="F2" s="14" cm="1">
        <f t="array" ref="F2:F40">D2:D40*E2:E40</f>
        <v>23</v>
      </c>
      <c r="G2" t="s">
        <v>140</v>
      </c>
      <c r="H2" s="15" t="s">
        <v>141</v>
      </c>
    </row>
    <row r="3" spans="1:9" x14ac:dyDescent="0.35">
      <c r="A3" t="s">
        <v>168</v>
      </c>
      <c r="B3" t="s">
        <v>14</v>
      </c>
      <c r="C3" t="s">
        <v>128</v>
      </c>
      <c r="D3" s="14">
        <v>18.18</v>
      </c>
      <c r="E3">
        <v>1</v>
      </c>
      <c r="F3">
        <v>18.18</v>
      </c>
      <c r="G3" t="s">
        <v>140</v>
      </c>
      <c r="H3" s="15" t="s">
        <v>141</v>
      </c>
    </row>
    <row r="4" spans="1:9" x14ac:dyDescent="0.35">
      <c r="A4" t="s">
        <v>169</v>
      </c>
      <c r="B4" t="s">
        <v>14</v>
      </c>
      <c r="E4">
        <v>1</v>
      </c>
      <c r="F4">
        <v>0</v>
      </c>
      <c r="G4" t="s">
        <v>140</v>
      </c>
      <c r="H4" s="15" t="s">
        <v>141</v>
      </c>
    </row>
    <row r="5" spans="1:9" x14ac:dyDescent="0.35">
      <c r="A5" t="s">
        <v>170</v>
      </c>
      <c r="B5" t="s">
        <v>14</v>
      </c>
      <c r="C5" t="s">
        <v>171</v>
      </c>
      <c r="D5" s="14">
        <v>13.86</v>
      </c>
      <c r="E5">
        <v>1</v>
      </c>
      <c r="F5">
        <v>13.86</v>
      </c>
      <c r="G5" t="s">
        <v>140</v>
      </c>
      <c r="H5" s="15" t="s">
        <v>141</v>
      </c>
    </row>
    <row r="6" spans="1:9" x14ac:dyDescent="0.35">
      <c r="A6" t="s">
        <v>172</v>
      </c>
      <c r="E6">
        <v>1</v>
      </c>
      <c r="F6">
        <v>0</v>
      </c>
      <c r="G6" t="s">
        <v>140</v>
      </c>
      <c r="H6" s="15" t="s">
        <v>141</v>
      </c>
    </row>
    <row r="7" spans="1:9" ht="43.5" x14ac:dyDescent="0.35">
      <c r="A7" s="16" t="s">
        <v>173</v>
      </c>
      <c r="E7">
        <v>4</v>
      </c>
      <c r="F7">
        <v>0</v>
      </c>
      <c r="G7" t="s">
        <v>140</v>
      </c>
      <c r="H7" s="17" t="s">
        <v>140</v>
      </c>
    </row>
    <row r="8" spans="1:9" x14ac:dyDescent="0.35">
      <c r="A8" t="s">
        <v>174</v>
      </c>
      <c r="E8">
        <v>4</v>
      </c>
      <c r="F8">
        <v>0</v>
      </c>
      <c r="G8" t="s">
        <v>140</v>
      </c>
      <c r="H8" s="17" t="s">
        <v>140</v>
      </c>
    </row>
    <row r="9" spans="1:9" x14ac:dyDescent="0.35">
      <c r="A9" t="s">
        <v>175</v>
      </c>
      <c r="E9">
        <v>1</v>
      </c>
      <c r="F9">
        <v>0</v>
      </c>
      <c r="G9" t="s">
        <v>140</v>
      </c>
      <c r="H9" s="15" t="s">
        <v>141</v>
      </c>
    </row>
    <row r="10" spans="1:9" x14ac:dyDescent="0.35">
      <c r="F10">
        <v>0</v>
      </c>
    </row>
    <row r="11" spans="1:9" x14ac:dyDescent="0.35">
      <c r="F11">
        <v>0</v>
      </c>
    </row>
    <row r="12" spans="1:9" x14ac:dyDescent="0.35">
      <c r="F12">
        <v>0</v>
      </c>
    </row>
    <row r="13" spans="1:9" x14ac:dyDescent="0.35">
      <c r="F13">
        <v>0</v>
      </c>
    </row>
    <row r="14" spans="1:9" x14ac:dyDescent="0.35">
      <c r="F14">
        <v>0</v>
      </c>
    </row>
    <row r="15" spans="1:9" x14ac:dyDescent="0.35">
      <c r="F15">
        <v>0</v>
      </c>
    </row>
    <row r="16" spans="1:9" x14ac:dyDescent="0.35">
      <c r="F16">
        <v>0</v>
      </c>
    </row>
    <row r="17" spans="6:6" x14ac:dyDescent="0.35">
      <c r="F17">
        <v>0</v>
      </c>
    </row>
    <row r="18" spans="6:6" x14ac:dyDescent="0.35">
      <c r="F18">
        <v>0</v>
      </c>
    </row>
    <row r="19" spans="6:6" x14ac:dyDescent="0.35">
      <c r="F19">
        <v>0</v>
      </c>
    </row>
    <row r="20" spans="6:6" x14ac:dyDescent="0.35">
      <c r="F20">
        <v>0</v>
      </c>
    </row>
    <row r="21" spans="6:6" x14ac:dyDescent="0.35">
      <c r="F21">
        <v>0</v>
      </c>
    </row>
    <row r="22" spans="6:6" x14ac:dyDescent="0.35">
      <c r="F22">
        <v>0</v>
      </c>
    </row>
    <row r="23" spans="6:6" x14ac:dyDescent="0.35">
      <c r="F23">
        <v>0</v>
      </c>
    </row>
    <row r="24" spans="6:6" x14ac:dyDescent="0.35">
      <c r="F24">
        <v>0</v>
      </c>
    </row>
    <row r="25" spans="6:6" x14ac:dyDescent="0.35">
      <c r="F25">
        <v>0</v>
      </c>
    </row>
    <row r="26" spans="6:6" x14ac:dyDescent="0.35">
      <c r="F26">
        <v>0</v>
      </c>
    </row>
    <row r="27" spans="6:6" x14ac:dyDescent="0.35">
      <c r="F27">
        <v>0</v>
      </c>
    </row>
    <row r="28" spans="6:6" x14ac:dyDescent="0.35">
      <c r="F28">
        <v>0</v>
      </c>
    </row>
    <row r="29" spans="6:6" x14ac:dyDescent="0.35">
      <c r="F29">
        <v>0</v>
      </c>
    </row>
    <row r="30" spans="6:6" x14ac:dyDescent="0.35">
      <c r="F30">
        <v>0</v>
      </c>
    </row>
    <row r="31" spans="6:6" x14ac:dyDescent="0.35">
      <c r="F31">
        <v>0</v>
      </c>
    </row>
    <row r="32" spans="6:6" x14ac:dyDescent="0.35">
      <c r="F32">
        <v>0</v>
      </c>
    </row>
    <row r="33" spans="6:6" x14ac:dyDescent="0.35">
      <c r="F33">
        <v>0</v>
      </c>
    </row>
    <row r="34" spans="6:6" x14ac:dyDescent="0.35">
      <c r="F34">
        <v>0</v>
      </c>
    </row>
    <row r="35" spans="6:6" x14ac:dyDescent="0.35">
      <c r="F35">
        <v>0</v>
      </c>
    </row>
    <row r="36" spans="6:6" x14ac:dyDescent="0.35">
      <c r="F36">
        <v>0</v>
      </c>
    </row>
    <row r="37" spans="6:6" x14ac:dyDescent="0.35">
      <c r="F37">
        <v>0</v>
      </c>
    </row>
    <row r="38" spans="6:6" x14ac:dyDescent="0.35">
      <c r="F38">
        <v>0</v>
      </c>
    </row>
    <row r="39" spans="6:6" x14ac:dyDescent="0.35">
      <c r="F39">
        <v>0</v>
      </c>
    </row>
    <row r="40" spans="6:6" x14ac:dyDescent="0.35">
      <c r="F40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Components</vt:lpstr>
      <vt:lpstr>Auxiliary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Asnodkar, Anusha J.</dc:creator>
  <cp:lastModifiedBy>Pai Asnodkar, Anusha J.</cp:lastModifiedBy>
  <dcterms:created xsi:type="dcterms:W3CDTF">2022-02-14T19:22:12Z</dcterms:created>
  <dcterms:modified xsi:type="dcterms:W3CDTF">2022-04-29T22:09:01Z</dcterms:modified>
</cp:coreProperties>
</file>